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crosoft-my.sharepoint.com/personal/toddray_microsoft_com/Documents/Documents/Tech/SOC/"/>
    </mc:Choice>
  </mc:AlternateContent>
  <xr:revisionPtr revIDLastSave="831" documentId="8_{E7857F05-4F90-4A22-BAD8-7877ECA1BC79}" xr6:coauthVersionLast="47" xr6:coauthVersionMax="47" xr10:uidLastSave="{91A7A245-130A-454D-ACC2-373F2AB62ACC}"/>
  <bookViews>
    <workbookView xWindow="-28920" yWindow="-120" windowWidth="29040" windowHeight="15840" xr2:uid="{A17E2563-D398-4006-A0B0-FF169B87A642}"/>
  </bookViews>
  <sheets>
    <sheet name="Rollup" sheetId="4" r:id="rId1"/>
    <sheet name="SOF - AI-Enabled SOC" sheetId="7" r:id="rId2"/>
  </sheets>
  <definedNames>
    <definedName name="_xlnm._FilterDatabase" localSheetId="1" hidden="1">'SOF - AI-Enabled SOC'!$A$2:$O$35</definedName>
    <definedName name="_ftnref1" localSheetId="1">'SOF - AI-Enabled SOC'!#REF!</definedName>
    <definedName name="_ftnref12" localSheetId="1">'SOF - AI-Enabled SOC'!#REF!</definedName>
    <definedName name="_ftnref13" localSheetId="1">'SOF - AI-Enabled SOC'!#REF!</definedName>
    <definedName name="_ftnref16" localSheetId="1">'SOF - AI-Enabled SOC'!#REF!</definedName>
    <definedName name="_ftnref4" localSheetId="1">'SOF - AI-Enabled SOC'!#REF!</definedName>
    <definedName name="_ftnref7" localSheetId="1">'SOF - AI-Enabled SOC'!#REF!</definedName>
    <definedName name="_ftnref8" localSheetId="1">'SOF - AI-Enabled SOC'!#REF!</definedName>
    <definedName name="_ftnref9" localSheetId="1">'SOF - AI-Enabled SOC'!#REF!</definedName>
    <definedName name="CML">'SOF - AI-Enabled SOC'!$A$56:$A$64</definedName>
    <definedName name="LevelSet" localSheetId="1">'SOF - AI-Enabled SOC'!#REF!</definedName>
    <definedName name="LevelSet">#REF!</definedName>
    <definedName name="SelectII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5" i="4" s="1"/>
  <c r="H3" i="4"/>
  <c r="H5" i="4" s="1"/>
  <c r="G3" i="4"/>
  <c r="G5" i="4" s="1"/>
  <c r="F3" i="4"/>
  <c r="F5" i="4" s="1"/>
  <c r="E3" i="4"/>
  <c r="E5" i="4" s="1"/>
  <c r="D3" i="4"/>
  <c r="D5" i="4" s="1"/>
  <c r="C3" i="4"/>
  <c r="C5" i="4" s="1"/>
  <c r="G12" i="7"/>
  <c r="H12" i="7" s="1"/>
  <c r="G13" i="7"/>
  <c r="H13" i="7"/>
  <c r="J36" i="4"/>
  <c r="J37" i="4" s="1"/>
  <c r="G11" i="7"/>
  <c r="H11" i="7" s="1"/>
  <c r="J21" i="4"/>
  <c r="J22" i="4" s="1"/>
  <c r="J23" i="4" s="1"/>
  <c r="J24" i="4" s="1"/>
  <c r="J25" i="4" s="1"/>
  <c r="J26" i="4" s="1"/>
  <c r="J27" i="4" s="1"/>
  <c r="J28" i="4" s="1"/>
  <c r="J29" i="4" s="1"/>
  <c r="J30" i="4" s="1"/>
  <c r="J31" i="4" s="1"/>
  <c r="J32" i="4" s="1"/>
  <c r="J33" i="4" s="1"/>
  <c r="J34" i="4" s="1"/>
  <c r="J35" i="4" s="1"/>
  <c r="G4" i="7"/>
  <c r="H4" i="7" s="1"/>
  <c r="G5" i="7"/>
  <c r="H5" i="7" s="1"/>
  <c r="G6" i="7"/>
  <c r="H6" i="7" s="1"/>
  <c r="G7" i="7"/>
  <c r="H7" i="7" s="1"/>
  <c r="G8" i="7"/>
  <c r="H8" i="7" s="1"/>
  <c r="G9" i="7"/>
  <c r="H9" i="7" s="1"/>
  <c r="G10" i="7"/>
  <c r="H10" i="7" s="1"/>
  <c r="G14" i="7"/>
  <c r="H14" i="7" s="1"/>
  <c r="G15" i="7"/>
  <c r="H15" i="7" s="1"/>
  <c r="G16" i="7"/>
  <c r="H16" i="7" s="1"/>
  <c r="G17" i="7"/>
  <c r="H17" i="7" s="1"/>
  <c r="G18" i="7"/>
  <c r="H18" i="7" s="1"/>
  <c r="G19" i="7"/>
  <c r="H19" i="7" s="1"/>
  <c r="G20" i="7"/>
  <c r="H20" i="7" s="1"/>
  <c r="G21" i="7"/>
  <c r="H21" i="7" s="1"/>
  <c r="G22" i="7"/>
  <c r="H22" i="7" s="1"/>
  <c r="G23" i="7"/>
  <c r="H23" i="7" s="1"/>
  <c r="G24" i="7"/>
  <c r="H24" i="7" s="1"/>
  <c r="G25" i="7"/>
  <c r="H25" i="7" s="1"/>
  <c r="G26" i="7"/>
  <c r="H26" i="7" s="1"/>
  <c r="G27" i="7"/>
  <c r="H27" i="7" s="1"/>
  <c r="G28" i="7"/>
  <c r="H28" i="7" s="1"/>
  <c r="G29" i="7"/>
  <c r="H29" i="7" s="1"/>
  <c r="G30" i="7"/>
  <c r="H30" i="7" s="1"/>
  <c r="G31" i="7"/>
  <c r="H31" i="7" s="1"/>
  <c r="G32" i="7"/>
  <c r="H32" i="7" s="1"/>
  <c r="G33" i="7"/>
  <c r="H33" i="7" s="1"/>
  <c r="G34" i="7"/>
  <c r="H34" i="7" s="1"/>
  <c r="G35" i="7"/>
  <c r="H35" i="7" s="1"/>
  <c r="G3" i="7"/>
  <c r="H3" i="7" s="1"/>
  <c r="J6" i="4"/>
  <c r="J7" i="4" s="1"/>
  <c r="J8" i="4" s="1"/>
  <c r="J9" i="4" s="1"/>
  <c r="J10" i="4" s="1"/>
  <c r="J11" i="4" s="1"/>
  <c r="J12" i="4" s="1"/>
  <c r="J13" i="4" s="1"/>
  <c r="J14" i="4" s="1"/>
  <c r="J15" i="4" s="1"/>
  <c r="J16" i="4" s="1"/>
  <c r="J17" i="4" s="1"/>
  <c r="J18" i="4" s="1"/>
  <c r="J19" i="4" s="1"/>
  <c r="K5" i="4" l="1" a="1"/>
  <c r="K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<sst xmlns="http://schemas.openxmlformats.org/spreadsheetml/2006/main" count="421" uniqueCount="367">
  <si>
    <t>Sub-category</t>
  </si>
  <si>
    <t>Description</t>
  </si>
  <si>
    <t>People</t>
  </si>
  <si>
    <t>Process</t>
  </si>
  <si>
    <t>Proactive exposure &amp; posture management</t>
  </si>
  <si>
    <t>Technology / Platform</t>
  </si>
  <si>
    <t>Data / Telemetry &amp; TI</t>
  </si>
  <si>
    <t>End-to-end telemetry coverage</t>
  </si>
  <si>
    <t>Normalization &amp; correlation</t>
  </si>
  <si>
    <t>Governance / Compliance</t>
  </si>
  <si>
    <t>Ops Model &amp; Services</t>
  </si>
  <si>
    <t>SOC service catalog</t>
  </si>
  <si>
    <t>Metrics / Outcomes</t>
  </si>
  <si>
    <t>Coverage &amp; quality metrics</t>
  </si>
  <si>
    <t>Analyst augmentation with GenAI</t>
  </si>
  <si>
    <t>Knowledge capture</t>
  </si>
  <si>
    <t>Continuous learning from telemetry</t>
  </si>
  <si>
    <t>1 — Not started or starting (0,50)</t>
  </si>
  <si>
    <t>2 — Planning / Developing (100, 150)</t>
  </si>
  <si>
    <t>3 — Rolling out / Standardizing (200, 250)</t>
  </si>
  <si>
    <t>4 — Operating / Optimizing (300, 350)</t>
  </si>
  <si>
    <t>SOC instance to model: &lt;Customer name&gt;-&lt;SOC Name&gt;</t>
  </si>
  <si>
    <t>Primary Category</t>
  </si>
  <si>
    <t>Threat Intelligence &amp; Adversary Tracking</t>
  </si>
  <si>
    <t>Identity Security &amp; Phishing Defense</t>
  </si>
  <si>
    <t>Cloud Security Posture Management</t>
  </si>
  <si>
    <t>Comments</t>
  </si>
  <si>
    <t>Applicable Stds/Regs Mapping</t>
  </si>
  <si>
    <t>Explanation of Applicability</t>
  </si>
  <si>
    <t>Multi-skilled SOC analysts</t>
  </si>
  <si>
    <t>Tiered SOC roles are blended to reduce handoffs; analysts are cross-trained to handle incidents end-to-end in a pod model.</t>
  </si>
  <si>
    <t>Roles unclear; SOC tiers work in silos.</t>
  </si>
  <si>
    <t>Skills matrix defined; cross-training plan in place.</t>
  </si>
  <si>
    <t>Majority of analysts cross-trained; fewer handoffs across incident lifecycle.</t>
  </si>
  <si>
    <t>Full pod model implemented for investigations; workload balancing largely automated.</t>
  </si>
  <si>
    <t>–</t>
  </si>
  <si>
    <t>NIST CSF’s Protect – Awareness and Training (PR.AT) domain and ISO/IEC 27001 require that personnel be adequately trained and competent in security duties. Having multi-skilled SOC analysts aligns with these by ensuring roles and responsibilities are understood and staff are cross-trained. CIS Control 14 (Security Awareness and Skills Training) likewise emphasizes developing staff skills. This capability ensures compliance with the expectation that organizations maintain a knowledgeable workforce to handle incidents effectively.</t>
  </si>
  <si>
    <t>Embedded security engineering</t>
  </si>
  <si>
    <t>Dedicated “behind the glass” security engineering team exists to manage SOC tooling, content, and automation (platform integration, analytics tuning, etc.).</t>
  </si>
  <si>
    <t>No dedicated security engineering function (reactive or ad-hoc only).</t>
  </si>
  <si>
    <t>Part-time or ad-hoc engineering support assigned to the SOC.</t>
  </si>
  <si>
    <t>Dedicated SecEng team in place managing integrations, detection content, etc.</t>
  </si>
  <si>
    <t>Proactive SecEng function fully integrated; backlog handled with metrics-driven improvements.</t>
  </si>
  <si>
    <t xml:space="preserve">SOC analysts leverage generative AI (e.g. Security Copilot) to accelerate data gathering, triage, and investigation steps, appropriate to their roles (juniors speed up basics, seniors dive deeper faster). Post Ignite ’25 insights: </t>
  </si>
  <si>
    <t>No access to generative AI tools for SOC analysts.</t>
  </si>
  <si>
    <t>Initial pilots of Copilot/GenAI assistants with a limited subset of analysts.</t>
  </si>
  <si>
    <t>GenAI assistants broadly available; all analysts trained on AI-driven workflows.</t>
  </si>
  <si>
    <t>GenAI embedded in daily operations for triage/investigation; measurable gains in analyst efficiency and insights.</t>
  </si>
  <si>
    <t>The use of generative AI in operations introduces AI-specific risks. NIST AI RMF provides a framework to identify and mitigate these (e.g. ensuring accuracy, managing bias). ISO/IEC 23894:2023 offers similar lifecycle-based AI risk guidance. If the AI qualifies as high-risk, the EU AI Act imposes transparency and human oversight requirements (e.g. human review of AI suggestions and a “stop” mechanism for automated actions[1]). This capability therefore must be governed by AI risk management practices – ensuring outputs are verified and that AI tools are used in line with ethical and regulatory guidelines for trustworthy AI.</t>
  </si>
  <si>
    <t>AI &amp; automation skills development</t>
  </si>
  <si>
    <t>The organization develops new skills for managing AI-driven and autonomous operations – e.g. prompt engineering, agent orchestration, AI ethics and reliability oversight.</t>
  </si>
  <si>
    <t>Necessary AI/automation skills are absent in the team.</t>
  </si>
  <si>
    <t>Training plans established to build AI and autonomous operations skills.</t>
  </si>
  <si>
    <t>Core team trained in AI governance, agent orchestration, and related skills.</t>
  </si>
  <si>
    <t>AI and autonomy skills adopted SOC-wide; staff proficient in overseeing and co-working with AI agents.</t>
  </si>
  <si>
    <t>Standardized &amp; streamlined processes</t>
  </si>
  <si>
    <t>Key SOC processes (monitoring, investigation, response, etc.) are documented as SOPs with clear entry/exit criteria, roles (RACI), and escalation paths, and continuously refined.</t>
  </si>
  <si>
    <t>Processes ad hoc and inconsistent; roles &amp; handoffs unclear.</t>
  </si>
  <si>
    <t>Core SOC procedures drafted and roles/responsibilities defined (SOPs in development).</t>
  </si>
  <si>
    <t>Standard operating procedures approved and in use; workflows are clearly defined and enforced (predictable handoffs, RACI in place).</t>
  </si>
  <si>
    <t>Processes routinely reviewed and optimized (metrics-driven improvements, minimal friction in workflows).</t>
  </si>
  <si>
    <t>The SOC actively monitors and reduces the organization’s attack surface (vulnerability management, cloud configuration, etc.), not just reacting to incidents.</t>
  </si>
  <si>
    <t>Exposure management is purely reactive (patching after incidents).</t>
  </si>
  <si>
    <t>Vulnerability scanning tools selected and basic remediation runbooks drafted.</t>
  </si>
  <si>
    <t>Regular scans and attack surface reviews in place; remediation SLAs defined and tracked.</t>
  </si>
  <si>
    <t>Continuous exposure management with risk-based prioritization of fixes; configuration drift and known weaknesses are promptly addressed.</t>
  </si>
  <si>
    <t>Defender now integrates with DevOps pipelines – enabling “shift-left” security: code vulnerabilities are caught early and linked to runtime threats for faster mitigation.</t>
  </si>
  <si>
    <t>Proactively managing vulnerabilities and configurations is mandated by multiple frameworks. NIST CSF’s Identify – Risk Assessment (ID.RA) and Protect – Maintenance (PR.MA-1) include vulnerability identification and patch management. CIS Controls (e.g. Control 7: Continuous Vulnerability Management) specify processes for regular scanning and remediation. ISO/IEC 27001:2022 Annex A 8.8 explicitly requires a technical vulnerability management process, i.e. obtaining info on vulnerabilities, evaluating exposure, and taking appropriate measures[4]. Meeting these standards means the SOC doesn’t just react to incidents but actively reduces risk by hardening systems, patching, and minimizing misconfigurations.</t>
  </si>
  <si>
    <t>AI-assisted investigation &amp; response</t>
  </si>
  <si>
    <t>Analysts use natural-language interfaces and AI suggestions to handle incidents (e.g. “explain this alert” or timeline generation); prompt guides (prompt books) and verification steps ensure consistency.</t>
  </si>
  <si>
    <t>No AI assistance in investigations or response (all steps manual).</t>
  </si>
  <si>
    <t>Initial use of AI in investigations (some prompt patterns/assistants piloted).</t>
  </si>
  <si>
    <t>Defined prompt playbooks and AI-driven suggestions integrated into standard operating procedures for triage/response.</t>
  </si>
  <si>
    <t>Predominantly AI-driven workflows: analysts interact via Copilot/AI for most steps, with humans validating high-impact actions as needed.</t>
  </si>
  <si>
    <t>Agentic workflows &amp; continuous learning</t>
  </si>
  <si>
    <t>Autonomous “security agent” workflows execute complex tasks (threat hunts, incident response actions) based on goals, and improve over time by learning from outcomes (feedback loops, retained knowledge).</t>
  </si>
  <si>
    <t>All investigation and response tasks executed manually (no autonomous workflows).</t>
  </si>
  <si>
    <t>Candidate use cases for autonomous agents identified (design of agent workflows in progress).</t>
  </si>
  <si>
    <t>Autonomous agent-driven workflows operating for specific tasks (goal-driven sequences with supervised self-evaluation).</t>
  </si>
  <si>
    <t>Agents continuously learn from each engagement, improving efficacy (patterns reused, decisions refined) with minimal human intervention.</t>
  </si>
  <si>
    <t>Unified SOC platform (XDR + SIEM)</t>
  </si>
  <si>
    <t>A unified security operations platform integrates XDR and SIEM capabilities, providing a single console for detection, investigation, and response across on-prem and cloud environments.</t>
  </si>
  <si>
    <t>Disparate security tools (XDR, SIEM, etc.) with no unified interface.</t>
  </si>
  <si>
    <t>Core XDR and SIEM platforms deployed; initial integration in progress.</t>
  </si>
  <si>
    <t>Mostly unified SOC interface achieved (cross-product incident views and shared workspaces across tools).</t>
  </si>
  <si>
    <t>Fully integrated “single pane of glass” SOC platform (analysts navigate a seamless interface and can take cross-tool actions in one place).</t>
  </si>
  <si>
    <t>A unified platform supports compliance by ensuring security events are centrally collected and correlated. NIST CSF Detect – Anomalies and Events includes subcategory DE.AE-3: “Event data are aggregated and correlated from multiple sources”[7], which directly aligns with having an integrated SIEM/XDR. CIS Control 8 (Audit Log Management) mandates centralized log storage and analysis. ISO/IEC 27001:2022 has Annex A 8.14 (Security information event monitoring), which expects organizations to monitor and analyze events across systems. Implementing a unified SOC platform operationalizes these requirements by providing comprehensive visibility and faster detection through correlation, which frameworks view as essential to effective monitoring.</t>
  </si>
  <si>
    <t>No centralized visibility into cloud asset posture (cloud security handled in silos).</t>
  </si>
  <si>
    <t>Cloud asset inventory being planned; basic posture assessment processes defined.</t>
  </si>
  <si>
    <t>Asset inventory and risk scoring in place for primary clouds; misconfigurations and weaknesses identified routinely.</t>
  </si>
  <si>
    <t>Unified multi-cloud and even serverless posture management operational, with continuous monitoring and risk scoring of all cloud resources.</t>
  </si>
  <si>
    <t>Multi-cloud posture now unified: the XDR/SIEM platform provides one dashboard for Azure/AWS/GCP, expanding the SOC’s view to include serverless functions and more.</t>
  </si>
  <si>
    <t>Multi-factor authentication (MFA) not implemented (or only basic); phishing training ad-hoc.</t>
  </si>
  <si>
    <t>Organization planning broad MFA rollout and formal phishing awareness training.</t>
  </si>
  <si>
    <t>MFA enforced for most users; phishing defenses include user training and some anomaly detection (e.g. suspicious login alerts).</t>
  </si>
  <si>
    <t>Phishing-resistant MFA deployed enterprise-wide; AI-driven detection of impersonation and other identity attacks actively protecting users.</t>
  </si>
  <si>
    <t>Deepfake impersonations and novel phishing techniques surged. Defenders are deploying AI-based anomaly detection for identity threats and intensifying user education.</t>
  </si>
  <si>
    <t>AI-assisted analysis &amp; threat hunting</t>
  </si>
  <si>
    <t>No AI assistance in log analysis or threat hunting (fully manual).</t>
  </si>
  <si>
    <t>Pilot projects using AI for basic alert triage or log analysis in development.</t>
  </si>
  <si>
    <t>Copilot/AI agents being rolled out to aid threat hunting and analysis (e.g. automated log summarization, anomaly spotting).</t>
  </si>
  <si>
    <t>AI agents are fully integrated into detection and hunting workflows; even non-expert analysts launch complex hunts via natural language queries.</t>
  </si>
  <si>
    <t>Generative AI has moved from pilot to pervasive – Security Copilot now includes dozens of built-in agents for log analysis, alert triage, identity risk, etc., democratizing advanced hunting.</t>
  </si>
  <si>
    <t>Enhanced analytics with AI still map to detection requirements. NIST CSF Detect – DE.AE-5 notes that detection processes are continuously improved and updated to address evolving threats (using advanced analytics fits this) and might be seen in CSF 2.0 updates (e.g., integrating threat intel and context[8]). Introducing AI to do this triggers NIST AI RMF and ISO 23894 guidance to ensure the AI models used for hunting are reliable (e.g. tuning to avoid false positives/negatives, validating that AI-proposed anomalies truly indicate threats). In short, the capability aligns with standard detection objectives (broad and adaptive monitoring) while requiring AI risk management so that the “augmented hunting” is trustworthy and doesn’t introduce blind spots or errors.</t>
  </si>
  <si>
    <t>Comprehensive telemetry collection across endpoints, identities, email, network, and cloud (and OT/ICS where applicable) to ensure no blind spots in detection.</t>
  </si>
  <si>
    <t>Only minimal security logs/sources are collected.</t>
  </si>
  <si>
    <t>Coverage plan established to onboard all critical telemetry sources.</t>
  </si>
  <si>
    <t>~80–90% of required data sources sending telemetry; remaining gaps identified and tracked.</t>
  </si>
  <si>
    <t>&gt;90% of environments covered by telemetry; any gaps are automatically flagged for remediation.</t>
  </si>
  <si>
    <t>Security data is normalized to common schemas and correlated, enabling entity-centric and incident-centric views with context (asset info, threat intel) attached to alerts.</t>
  </si>
  <si>
    <t>Logs are siloed and unnormalized (raw data only, difficult to cross-correlate).</t>
  </si>
  <si>
    <t>Basic normalization in place for some data sources.</t>
  </si>
  <si>
    <t>Unified schema adopted; events from multiple sources are correlated into incidents and entity (asset/user) profiles.</t>
  </si>
  <si>
    <t>Richly correlated incidents with entity graphs and context (threat intel enrichment, etc.) provide high-fidelity alerts.</t>
  </si>
  <si>
    <t>NIST CSF highlights the importance of analyzing events in context: DE.AE-3 (event data are aggregated/correlated) and DE.AE-4 (anomalous events are analyzed and prioritized). This implies use of normalized data to effectively correlate across sources[9]. ISO 27001’s logging and monitoring control (A.8.14) calls for analysis of logs, which presumes some level of normalization to be efficient. CIS Control 8 also emphasizes ensuring logs are managed in a way that facilitates identifying meaningful patterns. By implementing common schemas (like ASIM or ECS for logs) and correlation engines, the SOC meets these expectations—detecting complex attack chains that single-source analysis would miss, as envisioned by the standards.</t>
  </si>
  <si>
    <t>No threat intelligence integrated into SOC monitoring.</t>
  </si>
  <si>
    <t>One threat feed/source piloted in SOC tools.</t>
  </si>
  <si>
    <t>Multiple threat intel sources actively integrated (indicators matched, actor profiles available).</t>
  </si>
  <si>
    <t>Threat intel fully operationalized – feeds from many sources (incl. dark web) inform detections and hunting; adversary campaigns are tracked and used to adapt defenses.</t>
  </si>
  <si>
    <t>Adversary tactics have escalated (infostealers, dark web credential markets). SOC intel now must cover AI-driven social engineering and the booming “access-as-a-service” cybercrime economy.</t>
  </si>
  <si>
    <t>The SOC captures investigation context, summaries, and rationales in case records. This knowledge is indexed for future retrieval, aiding in learning from past incidents.</t>
  </si>
  <si>
    <t>Lessons and investigation details are not systematically captured.</t>
  </si>
  <si>
    <t>Templates defined for capturing key findings and decisions in incident reports.</t>
  </si>
  <si>
    <t>Investigation summaries and analyst reasoning are automatically captured for each case.</t>
  </si>
  <si>
    <t>Past case knowledge is leveraged in new investigations (similar cases retrieved with context; “institutional memory” informs current ops).</t>
  </si>
  <si>
    <t>Machine learning models continuously analyze telemetry to detect anomalies across users, endpoints, and environments; models retrain and improve as new data comes in.</t>
  </si>
  <si>
    <t>No machine-learning-based anomaly detection on SOC data.</t>
  </si>
  <si>
    <t>Plan in development to deploy anomaly detection pipelines (ML models) on security data.</t>
  </si>
  <si>
    <t>Initial ML jobs running, detecting anomalies across entities and environments (outliers flagged for review).</t>
  </si>
  <si>
    <t>Continuous ML analytics tuned and improving over time (drift monitored; models adapt to new patterns to reduce false negatives).</t>
  </si>
  <si>
    <t>Cyber governance &amp; compliance</t>
  </si>
  <si>
    <t>Cyber risk is not discussed at board level; minimal executive reporting.</t>
  </si>
  <si>
    <t>Planning to report cybersecurity posture to executives and align with emerging standards.</t>
  </si>
  <si>
    <t>Standardized cyber metrics (MFA coverage, IR time, etc.) reported to leadership; partial adoption of new frameworks.</t>
  </si>
  <si>
    <t>Full integration of cyber risk into governance (board-level dashboards, compliance with NIST CSF 2.0, EU AI Act, etc.; AI risk management included in charters).</t>
  </si>
  <si>
    <t>There’s heightened emphasis on treating cyber risk as a board-level issue. New frameworks (NIST CSF 2.0, EU AI Act, etc.) are raising compliance requirements, demanding more rigorous reporting and oversight.</t>
  </si>
  <si>
    <t>Strong governance is a cornerstone of most frameworks. NIST CSF Identify – Governance (ID.GV) demands that organizational roles, policies, and legal/regulatory requirements are understood and addressed at the governance level. ISO/IEC 27001 Clause 5 (leadership) requires top management involvement and Clause 6.1.1 mandates considering regulatory and contractual obligations in the ISMS – meaning the SOC’s strategy and metrics should be reviewed by leadership. Recent regulations like the EU AI Act (for organizations deploying AI) further require an AI governance structure and management of AI risks at the highest levels. Thus, this capability ensures that cybersecurity (and AI security) are treated as business risks: a board-reviewed program with metrics (e.g., MFA coverage, incident trends[12]) and compliance checks against frameworks (NIST CSF, ISO 27001, etc.), rather than solely an IT issue.</t>
  </si>
  <si>
    <t>Operational governance &amp; auditability</t>
  </si>
  <si>
    <t>Day-to-day SOC operations have governance controls: changes to detection content or playbooks follow change control, and evidence from investigations is captured for audits and compliance.</t>
  </si>
  <si>
    <t>No formal change control for SOC content; evidence collection ad hoc.</t>
  </si>
  <si>
    <t>Change management process defined (CAB for analytics/automation changes) and evidence templates introduced.</t>
  </si>
  <si>
    <t>Change control enforced for SOC updates (approval gates for rules, runbooks) and investigation evidence captured by default.</t>
  </si>
  <si>
    <t>Fully auditable operations: change decisions metrics-driven (with rollback plans); investigation evidence and activity logs automatically collected and auditable.</t>
  </si>
  <si>
    <t>Generative AI governance &amp; oversight</t>
  </si>
  <si>
    <t>Policies and guardrails are in place for SOC use of generative AI (e.g. Security Copilot): prompt content is reviewed, outputs are logged and validated, and human oversight is mandated for high-impact decisions.</t>
  </si>
  <si>
    <t>No specific policies or logging for AI assistance usage in the SOC.</t>
  </si>
  <si>
    <t>Draft AI usage policy in place (e.g. guidelines for Copilot prompts); partial logging of AI outputs.</t>
  </si>
  <si>
    <t>GenAI usage is governed with defined approval checkpoints and full logging of all prompts and AI-generated content.</t>
  </si>
  <si>
    <t>Regular audits of AI assistance outputs and decisions; prompt policies and validation checks are continuously refined based on oversight findings.</t>
  </si>
  <si>
    <t>When integrating tools like Security Copilot, organizations must extend their governance to cover AI usage. NIST AI RMF provides a blueprint for this: e.g., establishing an AI use policy, risk assessments for AI outputs, and human oversight requirements (AI RMF “Govern” and “Manage” functions). ISO/IEC 42001 similarly would require defining processes to control AI systems and their outputs as part of an AI Management System. The EU AI Act (for high-risk or generative AI systems) enforces transparency (users must know they are interacting with AI, and have documentation of AI decision logic) and human control[13]. While ISO/IEC 27001 doesn’t explicitly mention AI, its risk management processes (Cl. 6) and operational controls (like A.12 for change management) should incorporate these AI policies. In practice, this means the SOC should have specific guidelines for using AI assistance (e.g. what tasks it can/cannot do, how analysts validate AI-provided information, logging of AI queries/results for audit) to ensure compliance and maintain trustworthiness of AI-augmented decisions.</t>
  </si>
  <si>
    <t>AI agent governance &amp; lifecycle</t>
  </si>
  <si>
    <t>No framework to govern AI agents; any bots/agents operate without oversight.</t>
  </si>
  <si>
    <t>Inventory of AI agents and their access is being planned (defining ownership and controls).</t>
  </si>
  <si>
    <t>Rolling out Entra Agent ID or equivalent: each in-house AI agent registered, with access policies and lifecycle (update/retirement) procedures.</t>
  </si>
  <si>
    <t>Full governance in place for AI agents as first-class identities – their accounts, permissions, and activities are managed and reviewed like those of human admins (with compliance and security controls).</t>
  </si>
  <si>
    <t>Resilience &amp; recovery preparedness</t>
  </si>
  <si>
    <t>No formal disaster recovery (DR) or business continuity plans in place.</t>
  </si>
  <si>
    <t>DR plan development underway; initial tabletop incident recovery exercises planned.</t>
  </si>
  <si>
    <t>Standard DR/BC procedures documented and tested regularly (e.g. annual DR drills).</t>
  </si>
  <si>
    <t>Mature resilience program with continuous improvement; sophisticated scenarios (including AI-driven incidents) are tested to validate recovery capabilities.</t>
  </si>
  <si>
    <t>Despite new AI defenses, fundamentals of incident preparedness (backup, DR plans) remain critical[16] – rapid tech advances only heighten the need for resilience.</t>
  </si>
  <si>
    <t>The SOC has a defined catalog of services it provides (monitoring, threat hunting, incident response, etc.), with associated SLAs/OLAs for internal customers.</t>
  </si>
  <si>
    <t>No formal definition of SOC services (capabilities not clearly communicated).</t>
  </si>
  <si>
    <t>Draft SOC service catalog created (key services identified with basic descriptions).</t>
  </si>
  <si>
    <t>Service catalog published, including SLAs/OLAs for services (e.g. incident response times).</t>
  </si>
  <si>
    <t>Service offerings reviewed regularly (e.g. quarterly) and adjusted based on usage and feedback; service performance (uptake, timeliness) is tracked.</t>
  </si>
  <si>
    <t>While not a direct requirement of security standards, defining a SOC service catalog aligns with good governance and scope definition practices. ISO/IEC 27001 Clause 4.3 (Determining scope of the ISMS) and 6.2 (security objectives) imply that an organization should clearly delineate what security functions it performs. Formalizing a service catalog (e.g., monitoring, incident response, threat hunting, etc., each with SLAs) supports those clauses by making the SOC’s remit transparent and measurable. Additionally, ISO/IEC 20000 (the IT Service Management standard) encourages documentation of IT services and service level agreements – the SOC service catalog can be seen as a security-specific extension of that. Including this capability is about clarity and accountability: it helps ensure all necessary security services are identified (covering relevant control areas) and that their performance can be tracked, indirectly supporting compliance and continuous improvement.</t>
  </si>
  <si>
    <t>SOC operating model clarity</t>
  </si>
  <si>
    <t>The SOC operating model (staffing, shifts, on-call rotations, handoff to incident management or crisis teams) is clearly defined and practiced, including surge support procedures.</t>
  </si>
  <si>
    <t>Roles/responsibilities and handoff points in SOC operations are unclear.</t>
  </si>
  <si>
    <t>Staffing model and on-call rotations drafted (roles and escalation paths defined on paper).</t>
  </si>
  <si>
    <t>Roster and shift schedule implemented; handoffs to incident management/crisis teams are predictable and smooth.</t>
  </si>
  <si>
    <t>Well-tuned operating model with data-driven adjustments (e.g. staffing analytics, proven surge playbooks for major incidents).</t>
  </si>
  <si>
    <t>AI integration program &amp; norms</t>
  </si>
  <si>
    <t>A structured program exists to adopt Copilot/AI in SOC workflows (use-case selection, training for personnel) alongside defined norms for when to trust AI output vs. escalate to humans.</t>
  </si>
  <si>
    <t>No formal plan for integrating AI tools into SOC processes.</t>
  </si>
  <si>
    <t>Roadmap created for Copilot/AI adoption; initial training and AI usage guidelines drafted for SOC staff.</t>
  </si>
  <si>
    <t>Active AI adoption program: analysts trained by role; clear norms established for how AI suggestions are verified or escalated.</t>
  </si>
  <si>
    <t>Benefits of AI integration are tracked and the program is expanded; AI usage policies are continuously calibrated based on outcomes and user feedback.</t>
  </si>
  <si>
    <t>Autonomous SOC operations planning</t>
  </si>
  <si>
    <t>No plan or model for introducing autonomous agents into SOC processes.</t>
  </si>
  <si>
    <t>Initial roadmap for autonomous SOC operations drafted (includes agent SLOs and roles for oversight).</t>
  </si>
  <si>
    <t>Partial autonomy in place: agent-driven tasks have SLOs and owners; roadmap execution (phasing in agents for specific use cases) underway.</t>
  </si>
  <si>
    <t>Autonomous SOC model fully implemented: agents carry out a growing range of tasks per roadmap; agent performance meets SLOs, and manual steps are retired according to policy (with human oversight checkpoints maintained).</t>
  </si>
  <si>
    <t>Efficiency metrics (MTTD/MTTR)</t>
  </si>
  <si>
    <t>Key efficiency metrics like Mean-Time-to-Detect and Respond (MTTD, MTTR), false positive rates, etc., are measured to gauge SOC performance.</t>
  </si>
  <si>
    <t>No tracking of basic detection/response timing or accuracy.</t>
  </si>
  <si>
    <t>Baseline detection and response times measured.</t>
  </si>
  <si>
    <t>Targets set for MTTD, MTTR, false-positive rate, etc., and metrics reported regularly.</t>
  </si>
  <si>
    <t>Detection and response speed targets consistently met; continuous improvement process in place (e.g. tuning to further reduce MTTR).</t>
  </si>
  <si>
    <t>Metrics cover the completeness and quality of monitoring and controls (e.g. data source health, logging coverage, control efficacy, configuration drift).</t>
  </si>
  <si>
    <t>Unknown coverage/health of logging and controls.</t>
  </si>
  <si>
    <t>Health checks of data sources and control configurations piloted.</t>
  </si>
  <si>
    <t>Telemetry and control health is tracked (gaps and misconfigurations identified and remediated).</t>
  </si>
  <si>
    <t>Automated alerts for data/control failures; configuration drift or coverage gaps are prevented or corrected in near-real time.</t>
  </si>
  <si>
    <t>These metrics ensure that the scope and health of security controls are quantified. NIST CSF’s continuous monitoring (DE.CM) inherently values complete coverage – metrics like “percentage of critical systems sending logs” or “config drift occurrences” speak to that completeness. PR.PT-1 (Protective Technology) implies that security technologies are implemented and maintained – measuring their uptime or coverage fulfills that. ISO 27001’s performance evaluation (9.1) again provides the mandate to measure how well security controls (like logging, EDR, DLP systems) are working. CIS Control 8 suggests tracking logging from all systems, which can be turned into a coverage metric. By maintaining such metrics, the SOC demonstrates to auditors and management that, for example, “95% of endpoints are sending telemetry” or “all high-severity vulns patched within SLA” – concrete evidence of control effectiveness and areas for improvement as required by the governance processes.</t>
  </si>
  <si>
    <t>Business outcome metrics</t>
  </si>
  <si>
    <t>Security outcomes are tied to business metrics – e.g. breach impact, incident costs, and dwell time – and reviewed with business stakeholders to ensure SOC value delivery.</t>
  </si>
  <si>
    <t>SOC metrics not linked to business outcomes (e.g. financial or operational impact).</t>
  </si>
  <si>
    <t>Initial mapping of SOC performance to business KPIs (e.g. downtime, financial impact of incidents).</t>
  </si>
  <si>
    <t>Business impact of security incidents reviewed periodically (e.g. quarterly reports on incident cost, downtime, etc.).</t>
  </si>
  <si>
    <t>Clear improvements in business risk reduction (incident dwell time down, cost per incident down, and fewer business-disrupting incidents).</t>
  </si>
  <si>
    <t>Analyst performance metrics</t>
  </si>
  <si>
    <t>Metrics track analyst productivity and consistency (e.g. cases handled per analyst, time saved via automation, quality of documentation) to identify training needs and improvements.</t>
  </si>
  <si>
    <t>No measurements of individual analyst workload or work quality.</t>
  </si>
  <si>
    <t>Metrics defined for analyst performance (e.g. average handling time, investigation thoroughness) and baseline measured.</t>
  </si>
  <si>
    <t>Regular reporting on analyst productivity and quality (e.g. monthly case audits, peer reviews); improvements initiatives in place.</t>
  </si>
  <si>
    <t>Noticeable increase in analyst throughput with maintained/improved quality (performance targets met; variance between analysts reduced through best practices).</t>
  </si>
  <si>
    <t>Individual or team performance metrics are largely an internal management tool, but they tie into compliance via training and improvement requirements. ISO 27001’s competence clause (7.2) means the organization must ensure analysts are capable – monitoring their performance (e.g., cases resolved, errors made) can identify training needs to maintain competence. Performance measurement also feeds into Clause 9.1 (evaluation of effectiveness) by identifying if processes are hampered by skill gaps or inefficiencies. NIST CSF’s PR.AT (training) and Respond/Recover Improvements suggest using lessons learned, which could include procedural missteps or delays observed, to better the team. By collecting metrics like “average investigation time per alert” or “documentation completeness score”, a SOC can refine its processes and training programs, indirectly satisfying the expectation that the security function will continuously adapt and improve its human element alongside its technology.</t>
  </si>
  <si>
    <t>Autonomous operations metrics</t>
  </si>
  <si>
    <t>New metrics assess the impact of automation/AI: percentage of incidents handled autonomously vs. with human input, agent error rates or rollbacks, and the shift in human workloads (toward proactive vs. reactive work).</t>
  </si>
  <si>
    <t>No tracking of the effect of AI/autonomy on SOC operations.</t>
  </si>
  <si>
    <t>Baseline established for automation levels and agent error rates (if any).</t>
  </si>
  <si>
    <t>Trends show increasing automation with acceptable error rates; some analyst capacity freed for higher-value tasks (tracked qualitatively).</t>
  </si>
  <si>
    <t>Quantitative targets for autonomy reached (e.g. X% of alerts auto-handled) with minimal safety incidents; analysts’ focus has shifted to strategic tasks and overall cost per incident is reduced.</t>
  </si>
  <si>
    <t>ISO 27001 requires clear assignment of security roles (Cl. 5.3) and ensuring staff have appropriate skills (Cl. 7.2). Maintaining an engineering function to continuously tune detections and automate responses supports NIST CSF’s Detection Processes (DE.DP-5) – “processes are continuously improved” – and Protective Technology (PR.PT) outcomes. In practice, an embedded SecEng team addresses these standards by formalizing the upkeep of monitoring tools and ensuring changes (e.g. new detection rules, system configurations) follow a controlled process (ISO 27001 A.12.1.2 Change Management).</t>
  </si>
  <si>
    <t>Beyond general security training, NIST AI RMF’s Govern function highlights cultivating a culture of risk management for AI, which includes training personnel on AI oversight roles. NIST CSF PR.AT (Awareness Training) and ISO 27001’s competence and awareness clauses require organizations to equip staff with skills needed for emerging technologies. Developing AI and automation skills ensures the SOC can safely operate and supervise AI tools, meeting these expectations. It’s about extending standard training requirements to cover AI-specific competencies (e.g. prompt engineering, understanding AI limitations) so that human operators remain in control of AI-augmented processes.</t>
  </si>
  <si>
    <t>Augmenting incident handling with AI must still fulfill core incident response standards. NIST CSF’s Detection and Response processes (DE.DP, RS.AN) require timely analysis and action, which AI can accelerate. However, the introduction of AI is governed by NIST AI RMF and ISO/IEC 42001 (AI Management System) – these ensure that AI tools in decision-making roles are managed, tested, and have human oversight. In practice, this means even if an AI recommends a containment action, frameworks would require that its use is well-controlled (e.g. results logged and reviewed, per ISO 42001 and AI RMF “Measure/Manage” functions). This capability should be implemented such that AI expedites work, but final accountability and verification remain with human operators, satisfying both traditional IR standards and new AI governance.</t>
  </si>
  <si>
    <t>Ensuring security across Azure, AWS, GCP, etc., ties into asset management and config hardening mandates. NIST CSF Identify – Asset Management (ID.AM) requires identification of assets (including cloud services) and Protect – Information Protection Processes (PR.IP-1) calls for a baseline configuration. CIS Control 1 (Inventory of Assets) now extends to cloud resources, and CIS provides cloud-specific benchmarks to maintain secure configurations. ISO/IEC 27001:2022 Annex A 5.9 (Inventory of assets) and 8.8 (technical vulnerability management) together imply organizations must inventory cloud assets and address their vulnerabilities/misconfigurations. By employing a Cloud Security Posture Management tool, the SOC can continuously meet these standards: keeping an updated inventory, monitoring for misconfigurations or unpatched cloud components, and thereby reducing cloud-related risk exposure.</t>
  </si>
  <si>
    <t>Strong identity controls and phishing protection are well-covered by standards. NIST CSF Protect – Identity Management &amp; Access Control (PR.AC) requires that access to assets is limited to authorized users/devices (which implies MFA and robust authentication), and Protect – Awareness Training (PR.AT) covers phishing awareness for personnel. CIS Control 6 (Access Control Management) specifically prescribes MFA and account management, while CIS Control 14 deals with security awareness (including phishing exercises). ISO/IEC 27001:2022 includes Annex A 5.11 (User access management) and Annex A 6.3 (awareness training) enforcing similar practices. Adopting enterprise-wide phishing-resistant MFA and regular phishing training addresses these requirements by reducing unauthorized access risk and improving user readiness against social engineering.</t>
  </si>
  <si>
    <t>Comprehensive logging underpins many security controls. NIST CSF Detect – Security Continuous Monitoring has DE.CM-1: networks are monitored, DE.CM-7: monitoring for unauthorized entities in systems. Essentially, all critical environments should be covered by telemetry. CIS Control 8 (System Audit Log Management) requires collecting logs from network, endpoint, and cloud systems and ensuring they are reviewed. ISO/IEC 27001 Annex A 8.14 similarly expects event monitoring across systems. Achieving end-to-end coverage demonstrates compliance with these, as it means the organization is not “flying blind” in any area. It also supports other controls (e.g., incident response) by ensuring data is available for analysis.</t>
  </si>
  <si>
    <t>Both NIST CSF and ISO incident management emphasize learning from incidents. NIST CSF’s Respond/Recover – Improvements (RS.IM-1, RC.IM-1) mandate incorporating lessons learned into updated response plans and strategies. ISO/IEC 27035 (and ISO 27001’s continual improvement clause 10) require that after an incident, organizations analyze what happened and improve future processes (this inherently means capturing and retrieving knowledge on past incidents). By systematically documenting investigation details, root causes, and remediation steps in a knowledge base, the SOC aligns with these standards: it creates an institutional memory that feeds back into training, playbooks, and threat models, closing the loop for continuous improvement and compliance.</t>
  </si>
  <si>
    <t>While not explicitly required by older standards, this capability is an advanced extension of the “continuous improvement” ethos. NIST CSF DE.AE-5 notes that detection strategies are updated to reflect evolving threats – employing machine learning on telemetry fulfills this by adapting baselines and spotting new anomalies. DE.DP-5 (Detection processes continuously improved) also resonates. ISO 27001’s continual improvement (Cl. 10) encourages leveraging new techniques to enhance controls. If AI/ML is used, NIST AI RMF would apply to ensure the models are evaluated for effectiveness and fairness (Measure function) and managed over time (Manage function). In summary, using ML for anomaly detection can strengthen compliance by improving detection accuracy, but it must be accompanied by governance of the models to ensure they remain effective and don’t introduce risk (e.g., blind spots or concept drift).</t>
  </si>
  <si>
    <t>The ability to audit SOC actions and govern changes ties into multiple controls. ISO 27001 Annex A 8.1.4 mandates change management procedures (applicable to SOC content changes like new detection rules or playbooks), and A.16.1.7 requires securing evidence of incidents (for potential legal or forensic use). ISO 27035 also highlights maintaining incident logs and evidence. NIST CSF Protect – Configuration Change Control (PR.IP-3) calls for management of changes to organizational systems, and Respond – Analysis (RS.AN-3) states that forensics/evidence collection are performed following an incident. Implementing this capability – e.g., requiring approvals for rule changes and preserving incident data – meets those criteria. It ensures the SOC can demonstrate what was done and why, which is critical for passing audits (internal or external) and for any post-incident investigations or compliance reviews.</t>
  </si>
  <si>
    <t>Preparing to recover from incidents is explicitly required by frameworks. NIST CSF’s Recover – Recovery Planning (RC.RP-1) mandates the establishment and testing of recovery plans, and RC.IM-1 calls for incorporating lessons learned into recovery strategies. ISO/IEC 27001 Annex A 5.30 (ICT readiness for business continuity) and A.17 (continuity of security processes) compel organizations to have DR/BCP plans and backup strategies to maintain resilience. ISO 22301 (business continuity management) – though separate – is a best-practice standard often referenced for detailed guidance on this capability. Thus, a mature DR plan with regular exercises maps directly to these controls, ensuring that even if advanced AI defenses fail or a novel attack strikes, the organization can restore operations (systems, data, and security functions) within acceptable time frames and with minimal damage.</t>
  </si>
  <si>
    <t>Clarity in the SOC’s operating model – who does what, when, and how – relates to broader organizational controls. ISO 27001 Clause 5.3 requires that information security roles and responsibilities are assigned and communicated; Annex A.7.1.2 (Terms &amp; conditions of employment) can encompass duty expectations like on-call or incident response roles. NIST CSF Identify – Governance (ID.GV-2) likewise says “Cybersecurity roles and responsibilities are coordinated and aligned with internal roles and external partners.” By explicitly defining the SOC’s structure (analyst tiers or pods, on-call rotations, handoff procedures to incident management or crisis teams), the organization demonstrates compliance with these principles. It ensures no ambiguity in responsibility during incidents (a key factor in incident response standards) and that effective coordination can happen, e.g., with management or legal teams when needed.</t>
  </si>
  <si>
    <t>Instituting a formal program for AI adoption in the SOC (with training and usage policies) addresses both AI governance and human resource requirements. NIST AI RMF under the Govern function would have the organization establish policies and practices for AI usage, and ensure personnel know how to appropriately use and oversee AI (tying back to AI risk culture). ISO/IEC 42001 would expect that any introduction of AI in processes be managed via the AI management system – which includes planning, awareness, and monitoring of AI use cases. ISO 27001’s support clauses (7.2, 7.3) on competence and awareness, and operations (Cl. 8) on following procedures, apply here: staff must be trained on the new AI tools and clear norms must be documented (e.g., “Analysts should treat Copilot suggestions as initial analyses, not final truth, and must validate critical outputs”). By following a structured program, the organization ensures that AI integration improves security operations while still conforming to overall security and risk management policies.</t>
  </si>
  <si>
    <t>Planning for higher degrees of SOC autonomy is forward-looking, but standards can guide it. NIST AI RMF’s Map function involves understanding contexts and risks of AI systems – a planning phase fits here to identify where autonomy is acceptable vs. where human control is non-negotiable. The Manage function then covers implementing risk mitigation for those AI systems over time (e.g., setting performance thresholds for agents and fallback criteria). An AI management system per ISO 42001 would formalize this roadmap by requiring documentation of AI objectives, risk assessments, and continuous monitoring of AI in operations. If any planned autonomous function could fall under “high-risk AI” per the EU AI Act, then the roadmap must incorporate compliance steps (like conformity assessments, human oversight mechanisms, etc., before full deployment). In essence, this capability – having a plan for autonomy – ensures that increasing use of automation/agents in the SOC will be done in a controlled, standards-aligned way, rather than ad hoc. It connects long-term innovation with governance.</t>
  </si>
  <si>
    <t>Measuring Mean Time to Detect/Respond (MTTD/MTTR) and similar efficiency metrics isn’t explicitly named in many standards, but falls under general requirements to monitor and improve the ISMS. ISO 27001 Clause 9.1 requires organizations to evaluate information security performance and effectiveness of controls – incident response times and detection rates are prime examples of such performance indicators. Clause 9.3 (Management review) expects leadership to review these metrics. NIST CSF’s Respond – Improvements (RS.IM) suggests that after incidents, response processes (including their speed) should be enhanced. Thus, tracking MTTD/MTTR aligns with demonstrating that the SOC is meeting or improving upon the response objectives set by the organization. It provides evidence for audits and management that detection/response is timely, as assumed by broader frameworks when they talk about “minimizing impact of incidents.”</t>
  </si>
  <si>
    <t>Linking security performance to business outcomes (like financial impact of incidents, downtime, etc.) is encouraged in frameworks to ensure alignment with organizational objectives. NIST CSF’s Identify – Business Environment (ID.BE) reminds that security should consider the organization’s roles, priorities, and risk appetite. At the highest Implementation Tiers of NIST CSF (Tier 4 Adaptive), organizations use business impact to drive cyber risk decisions. ISO 27001 Clause 6.2 requires information security objectives to be consistent with business objectives, and Clause 9.3 mandates management reviews consider changes in issues that affect the ISMS (major incidents certainly qualify). By tracking metrics such as “reduction in losses due to cybersecurity incidents” or “downtime hours prevented,” the SOC provides evidence that its activities support business resilience – a perspective that regulators and executives increasingly expect as part of a mature security program (even if not spelled out in control checklists).</t>
  </si>
  <si>
    <t>NIST CSF (PR.AT), ISO/IEC 27001 (Annex A 6.3), CIS (Control 14)</t>
  </si>
  <si>
    <t>ISO/IEC 27001 (Cl. 5.3 &amp; 7.2), NIST CSF (DE.DP &amp; PR.IP domains)</t>
  </si>
  <si>
    <t>Includes role‑tailored AI experiences: e.g. threat intel analysts use specialized prompts; executives receive narrative summaries.</t>
  </si>
  <si>
    <t>NIST AI RMF, ISO/IEC 23894, EU AI Act (transparency &amp; oversight)</t>
  </si>
  <si>
    <t>NIST CSF (PR.AT), NIST AI RMF (Govern function), ISO/IEC 27001 (Cl. 7.2)</t>
  </si>
  <si>
    <t>ISO/IEC 27035 (Incident Mgmt Process), ISO/IEC 27001 (Cl. 8 &amp; A.16), NIST CSF (RS.RP &amp; RS.IM)</t>
  </si>
  <si>
    <t>ISO/IEC 27035 prescribes a structured incident management process[2] [3], requiring clear phases (preparation, detection, analysis, response, lessons learned). ISO 27001 similarly requires documented operational procedures (Cl. 8.1) and incident response plans (Annex A.16). NIST CSF’s Respond domain (RS) calls for maintained incident response plans (RS.RP-1) and improvements from lessons learned (RS.IM-1). This capability aligns with those standards by having well-defined, auditable SOPs for all SOC activities, ensuring consistency and compliance in how incidents and daily monitoring are handled.</t>
  </si>
  <si>
    <t>NIST CSF (ID.RA &amp; PR.MA), CIS (Controls 1, 7), ISO/IEC 27001 (Annex A 8.8)</t>
  </si>
  <si>
    <t>NIST CSF (DE.DP &amp; RS.AN), NIST AI RMF, ISO/IEC 42001</t>
  </si>
  <si>
    <t>NIST AI RMF, ISO/IEC 42001, EU AI Act (if high-risk)</t>
  </si>
  <si>
    <t>Deploying autonomous “agentic” workflows touches emerging AI governance regimes. NIST AI RMF emphasizes continuous monitoring and adjustment of AI behaviors (the “Manage” function) – applicable to agents that learn from outcomes. ISO/IEC 42001:2023 (AI Management System) would require formal management of such AI-driven processes as part of the organizational system of controls (including risk assessments before deployment and ongoing performance evaluation). If the autonomous agents impact critical decisions or safety, the EU AI Act could classify them as high-risk, triggering requirements for human oversight, fail-safes, and rigorous risk management[5] [6]. Therefore, this capability must be pursued under strict governance: clearly defined agent objectives, monitoring of agent decisions, and the ability for humans to intervene (a principle enshrined in AI regulations).</t>
  </si>
  <si>
    <t>NIST CSF (DE.AE-3, DE.CM), CIS (Control 8), ISO/IEC 27001 (Annex A 8.14)</t>
  </si>
  <si>
    <t>NIST CSF (ID.AM, PR.IP), CIS (Control 1 &amp; Cloud Benchmarks), ISO/IEC 27001 (Annex A 5.9 &amp; 8.8)</t>
  </si>
  <si>
    <t>NIST CSF (PR.AC &amp; PR.AT), CIS (Control 6 &amp; 14), ISO/IEC 27001 (Annex A 5.11 &amp; 7.2)</t>
  </si>
  <si>
    <t>NIST CSF (DE.AE-5), NIST AI RMF, ISO/IEC 23894</t>
  </si>
  <si>
    <t>NIST CSF (DE.CM-1, DE.CM-7), CIS (Control 8), ISO/IEC 27001 (Annex A 8.14)</t>
  </si>
  <si>
    <t>NIST CSF (DE.AE-3, DE.AE-4), ISO/IEC 27001 (Annex A 8.14), CIS (Control 8)</t>
  </si>
  <si>
    <t>NIST CSF (ID.RA-2, DE.AE-5), ISO/IEC 27001 (Annex A 5.7), CIS (Control 17)</t>
  </si>
  <si>
    <t>Consuming and using threat intelligence is increasingly part of best practices. NIST CSF’s Identify – Risk Assessment (ID.RA-2) states “Threat and vulnerability information is received from information sharing forums and sources” – encouraging use of cyber threat intel. CSF v2.0 adds DE.AE-07 for integrating threat intelligence into analysis[10]. ISO/IEC 27001:2022 introduced control 5.7 Threat intelligence, which says organizations should collect and analyze information on threats[11]. CIS Control 17 (Incident Response) also advises leveraging intel to preempt incidents. Mapping to these, this capability ensures the SOC ingests IOC feeds, attacker TTP reports, etc., and proactively hunts or adjusts defenses based on that intel – all actions that those standards aim for to stay ahead of emerging threats.</t>
  </si>
  <si>
    <t>ISO/IEC 27035 (Post-Incident Lessons), NIST CSF (RS.IM &amp; RC.IM), ISO/IEC 27001 (Cl. 10)</t>
  </si>
  <si>
    <t>NIST CSF (DE.AE-5, DE.DP-5), ISO/IEC 27001 (Cl. 10), NIST AI RMF (Measure/Manage)</t>
  </si>
  <si>
    <t>NIST CSF (ID.GV), ISO/IEC 27001 (Cl. 5 &amp; 6), EU AI Act (AI risk governance)</t>
  </si>
  <si>
    <t>ISO/IEC 27001 (Annex A 8.1.4 &amp; A.16.1.7), ISO/IEC 27035, NIST CSF (PR.IP-3, RS.AN-3)</t>
  </si>
  <si>
    <t>NIST AI RMF, ISO/IEC 42001, EU AI Act (transparency), ISO/IEC 27001 (Cl. 8 &amp; A.12)*</t>
  </si>
  <si>
    <t>ISO/IEC 42001, NIST AI RMF, EU AI Act, ISO/IEC 27001 (A.9)</t>
  </si>
  <si>
    <t>Treating AI agents as first-class identities intersects with both AI-specific and traditional IAM standards. ISO/IEC 42001 would require that any AI system deployed (like an autonomous agent) is covered by the organization’s AI governance processes – including defining its role, monitoring its behavior, and eventually decommissioning it safely. NIST AI RMF’s Govern and Manage functions likewise suggest maintaining an inventory of AI systems and managing their risk through the lifecycle. The EU AI Act (if applicable to the agent’s use case) would add obligations such as registration, human oversight, and continuous risk management for the agent[14] [15]. Meanwhile, ISO/IEC 27001 Annex A.9 (Access Control) and related IAM best practices now need to extend to non-human accounts: ensuring AI agents only have access necessary for their function and are subject to regular review (just as one would do for a service account or vendor account). In summary, this capability ensures that deployment of agentic AI doesn’t create unmanaged “rogue” entities — it brings them into the fold of identity governance and compliance, a principle increasingly stressed by emerging standards.</t>
  </si>
  <si>
    <t>NIST CSF (RC.RP, RC.IM), ISO/IEC 27001 (Annex A 5.30 &amp; A.17), ISO 22301 (BCM)</t>
  </si>
  <si>
    <t>ISO/IEC 20000 (IT Service Mgmt), ISO/IEC 27001 (Cl. 4.3 &amp; 6.2)*</t>
  </si>
  <si>
    <t>ISO/IEC 27001 (Cl. 5.3 &amp; A.7.1.2), NIST CSF (ID.GV-2)</t>
  </si>
  <si>
    <t>NIST AI RMF, ISO/IEC 42001, ISO/IEC 27001 (Cl. 7.2 &amp; 8)</t>
  </si>
  <si>
    <t>NIST AI RMF (Map/Manage), ISO/IEC 42001, EU AI Act (if applicable)</t>
  </si>
  <si>
    <t>ISO/IEC 27001 (Cl. 9.1 &amp; 9.3), NIST CSF (RS.MI)</t>
  </si>
  <si>
    <t>NIST CSF (DE.CM &amp; PR.PT), ISO/IEC 27001 (Cl. 9.1), CIS (Control 8)</t>
  </si>
  <si>
    <t>NIST CSF (ID.BE &amp; Tier 4), ISO/IEC 27001 (Cl. 6.2 &amp; 9.3)</t>
  </si>
  <si>
    <t>ISO/IEC 27001 (Cl. 7.2, 9.1), NIST CSF (PR.AT &amp; RS.IM)</t>
  </si>
  <si>
    <t>NIST AI RMF (Measure), ISO/IEC 42001, ISO/IEC 27001 (Cl. 9 &amp; 10)</t>
  </si>
  <si>
    <t>As organizations implement more automation, it’s important (and in line with emerging standards) to measure its performance and risks. NIST AI RMF – Measure function explicitly calls for identifying metrics to track AI system performance and impact. For a partially autonomous SOC, relevant metrics might be “percentage of alerts resolved by AI without human intervention” or “number of AI actions reverted by humans.” ISO/IEC 42001 would require monitoring of the AI Management System’s objectives – if one objective is to automate X% of tasks, progress and any incidents (e.g., AI mistakes) should be quantitatively tracked. ISO 27001’s general monitoring (Cl.9) and improvement (Cl.10) clauses also support this: the SOC should evaluate how automation affects its overall risk posture and adjust accordingly. Including these metrics ensures that autonomy is delivering value without compromising security; for example, if an automated action causes an incident, that would be measured and fed back into policy (perhaps triggering more human oversight) as part of continual improvement. (Note: Capabilities marked with an asterisk () involve standards beyond the original reference list, included for completeness.)*</t>
  </si>
  <si>
    <t>[1]https://www.aoshearman.com/en/insights/ao-shearman-on-tech/zooming-in-on-ai-10-eu-ai-act-what-are-the-obligations-for-high-risk-ai-systems</t>
  </si>
  <si>
    <t>[2]https://www.neumetric.com/journal/iso-27035-incident-response-plan-2962/</t>
  </si>
  <si>
    <t>[3]https://www.neumetric.com/journal/iso-27035-incident-response-plan-2962/</t>
  </si>
  <si>
    <t>[4]https://hightable.io/iso-27001-annex-a-8-8-management-of-technical-vulnerabilities/</t>
  </si>
  <si>
    <t>[5]https://www.aoshearman.com/en/insights/ao-shearman-on-tech/zooming-in-on-ai-10-eu-ai-act-what-are-the-obligations-for-high-risk-ai-systems</t>
  </si>
  <si>
    <t>[6]https://www.aoshearman.com/en/insights/ao-shearman-on-tech/zooming-in-on-ai-10-eu-ai-act-what-are-the-obligations-for-high-risk-ai-systems</t>
  </si>
  <si>
    <t>[7]https://csf.tools/reference/nist-cybersecurity-framework/v1-1/de/de-ae/de-ae-3/</t>
  </si>
  <si>
    <t>[8]https://csf.tools/reference/nist-cybersecurity-framework/v1-1/de/de-ae/de-ae-3/</t>
  </si>
  <si>
    <t>[9]https://csf.tools/reference/nist-cybersecurity-framework/v1-1/de/de-ae/de-ae-3/</t>
  </si>
  <si>
    <t>[10]https://csf.tools/reference/nist-cybersecurity-framework/v1-1/de/de-ae/de-ae-3/</t>
  </si>
  <si>
    <t>[11]https://morganhillcg.com/blog/item/iso-iec-27002-2022-5-7-threat-intelligence-program-template</t>
  </si>
  <si>
    <t>[12]https://www.neumetric.com/journal/iso-27035-incident-response-plan-2962/</t>
  </si>
  <si>
    <t>[13]https://www.aoshearman.com/en/insights/ao-shearman-on-tech/zooming-in-on-ai-10-eu-ai-act-what-are-the-obligations-for-high-risk-ai-systems</t>
  </si>
  <si>
    <t>[14]https://www.aoshearman.com/en/insights/ao-shearman-on-tech/zooming-in-on-ai-10-eu-ai-act-what-are-the-obligations-for-high-risk-ai-systems</t>
  </si>
  <si>
    <t>[15]https://www.aoshearman.com/en/insights/ao-shearman-on-tech/zooming-in-on-ai-10-eu-ai-act-what-are-the-obligations-for-high-risk-ai-systems</t>
  </si>
  <si>
    <t>[16]https://microsoft-my.sharepoint.com/personal/toddray_microsoft_com/_layouts/15/Doc.aspx?sourcedoc=%7B5E8C34D9-4722-4D84-9D50-0C13E82B1D9A%7D&amp;file=SOF%20CMM%20Post-Ignite%20Additions.docx&amp;action=default&amp;mobileredirect=true</t>
  </si>
  <si>
    <t>AI-Enabled SOC - CMM - Post Ignite '25</t>
  </si>
  <si>
    <t>Current Level (Customer)</t>
  </si>
  <si>
    <t>References</t>
  </si>
  <si>
    <t xml:space="preserve">Lookup </t>
  </si>
  <si>
    <t>SOF - AI-Enabled SOC - CMM Categories</t>
  </si>
  <si>
    <t>Target</t>
  </si>
  <si>
    <t>SOC CMM Average Scoring - Current State</t>
  </si>
  <si>
    <t>Degree of adoption (example customer)</t>
  </si>
  <si>
    <t>Contoso SOC Example</t>
  </si>
  <si>
    <t>Moderately adopted; concept is established but requires significant organizational change (many SOCs still operate in silos).</t>
  </si>
  <si>
    <t>Increasingly adopted in mature SOCs; having a dedicated engineering team for SOC tooling and automation is recognized as best practice.</t>
  </si>
  <si>
    <t>Very new capability (emerging post-Ignite 2025); few organizations have deployed generative AI assistants widely in SOC operations yet.</t>
  </si>
  <si>
    <t>Nascent area; most SOCs are only beginning to train staff in AI-specific skills (e.g. prompt engineering, AI oversight) if at all.</t>
  </si>
  <si>
    <t>Widely practiced; documenting and refining SOC procedures (with RACI, playbooks, etc.) is a long-standing goal largely in place at mature organizations.</t>
  </si>
  <si>
    <t>Partially implemented; vulnerability and patch management are common, but fully integrating attack surface reduction into SOC workflows remains challenging.</t>
  </si>
  <si>
    <t>Early stage; relies on new AI tooling (e.g. Security Copilot suggestions) that is just entering use, so broad adoption is minimal so far.</t>
  </si>
  <si>
    <t>Experimental; fully autonomous “security agent” workflows are still largely theoretical or in limited pilots at best.</t>
  </si>
  <si>
    <t>In progress at many organizations; tools are maturing, but most SOCs still juggle multiple consoles, and true single-pane-of-glass operations are not yet universal.</t>
  </si>
  <si>
    <t>Mixed adoption; basic cloud posture tools exist for each platform, but unified multi-cloud visibility (including serverless environments) is just developing in practice.</t>
  </si>
  <si>
    <t>Well-established; most enterprises have broadly implemented MFA and phishing training, driven by high threat awareness and compliance requirements (advanced techniques like deepfake detection are still emerging).</t>
  </si>
  <si>
    <t>New capability; very few SOCs have AI-driven hunting or automated log analysis beyond initial UEBA features or limited Copilot trials.</t>
  </si>
  <si>
    <t>High focus; most SOCs ingest telemetry from all key sources (endpoints, network, cloud), though achieving near-total coverage across an enterprise is still a work in progress.</t>
  </si>
  <si>
    <t>Moderate maturity; basic event correlation via SIEM is common, but fully normalized, context-rich correlation and entity linking are not yet universally achieved.</t>
  </si>
  <si>
    <t>Common practice; many SOCs integrate threat intelligence feeds and watch for known TTPs, although proactive adversary tracking depth varies by organization.</t>
  </si>
  <si>
    <t>Underdeveloped; while post-incident reports exist, systematic capture and reuse of investigation learnings (case knowledge base) is often ad hoc or inconsistent.</t>
  </si>
  <si>
    <t>Emerging; some SOC tools offer ML-based anomaly detection, but continuously tuning and improving these models with local telemetry is not yet widespread.</t>
  </si>
  <si>
    <t>Improving; due to regulations and board pressure, more organizations are instituting executive cyber risk reviews and aligning with frameworks (maturity still varies).</t>
  </si>
  <si>
    <t>Moderate; change control for SOC content and evidence retention exists in many places, but fully auditable, formalized processes are still being developed in others.</t>
  </si>
  <si>
    <t>Nascent; few organizations have established formal policies or oversight for using generative AI (like Copilot) in security, given these tools only recently entered production.</t>
  </si>
  <si>
    <t>Very nascent; managing AI agents as enterprise identities is a brand-new concept, essentially not implemented outside of early adopters or pilot programs.</t>
  </si>
  <si>
    <t>Generally strong; disaster recovery and business continuity plans are standard and regularly tested in most mid-to-large organizations (especially in regulated industries).</t>
  </si>
  <si>
    <t>Not widespread; although an ITSM best practice, many SOCs lack a formal published service catalog or SLAs for their services (more common in highly mature or outsourced SOCs).</t>
  </si>
  <si>
    <t>High in mature SOCs; established teams typically have well-defined roles, shift schedules, and escalation paths (critical for 24/7 or follow-the-sun operations).</t>
  </si>
  <si>
    <t>Very early stage; outside a few forward-leaning teams, structured programs to integrate AI into SOC processes (with training and usage guidelines) are just beginning.</t>
  </si>
  <si>
    <t>Very early; virtually no SOCs have a concrete roadmap for fully autonomous operations yet, beyond exploratory automation projects and long-term vision statements.</t>
  </si>
  <si>
    <t>Routine; tracking detection and response times is common practice for SOC performance management, though specific targets and consistency vary by organization.</t>
  </si>
  <si>
    <t>Moderate; some organizations measure log source onboarding, control coverage, and configuration drift, but such metrics are not yet uniformly tracked across all SOCs.</t>
  </si>
  <si>
    <t>Limited; tying security operations to business impact (e.g. financial loss avoided or downtime reduced) is still uncommon and typically only done in a qualitative or after-the-fact manner.</t>
  </si>
  <si>
    <t>Developing; many SOCs monitor analyst workload and case handling informally, but systematic productivity and quality metrics per analyst are not standard practice.</t>
  </si>
  <si>
    <t>Nonexistent-to-minimal; since truly autonomous SOC functions are rare today, few organizations have defined metrics for agent-driven operations or measure automation rates in a granular way.</t>
  </si>
  <si>
    <t>Category</t>
  </si>
  <si>
    <t>Top Tier Gaps (Subcategory)</t>
  </si>
  <si>
    <t>Primary Category Target (from "Rollup Sheet"</t>
  </si>
  <si>
    <t>Gap (Level - Target)</t>
  </si>
  <si>
    <t>Original # sequence</t>
  </si>
  <si>
    <t>&lt;Hidden columns provide calculations for gap ranking.</t>
  </si>
  <si>
    <t>Threshold</t>
  </si>
  <si>
    <t>Overall gap (for Category)</t>
  </si>
  <si>
    <t>Gap (Score - CatTarg)</t>
  </si>
  <si>
    <t>Set the gap threshold to limit the result set to gaps higher than a threshold (to use for (e.g.) prioritization; to see all parameter, set to a high positive number (e.g., +100))</t>
  </si>
  <si>
    <t>Calc'd</t>
  </si>
  <si>
    <t>Set</t>
  </si>
  <si>
    <r>
      <t xml:space="preserve">Top Tier Gaps (Subcategory)
</t>
    </r>
    <r>
      <rPr>
        <i/>
        <sz val="12"/>
        <color theme="1"/>
        <rFont val="Calibri"/>
        <family val="2"/>
      </rPr>
      <t>(these are calculated based on the set values in the "SOF - AI-Enabled SOC" sheet and the Target values on this sheet. )</t>
    </r>
  </si>
  <si>
    <t>- Threat intelligence feeds (IOCs, actor TTPs) are integrated, and the SOC tracks adversary campaigns. Intel is applied to detect and proactively hunt threats, including those emerging on the dark web. 
- Behavior-based detection and dark web monitoring to counter increasingly AI-augmented, credential-focused attacks).</t>
  </si>
  <si>
    <t>- Strong identity-focused security practices in place: enterprise-wide phishing-resistant MFA, user behavior analytics, and training to counter advanced phishing (including deepfakes).
- Even advanced attacks can be mitigated by MFA (blocking 99%+ of account takeover attempts).</t>
  </si>
  <si>
    <t>- Visibility and security configuration management across multi-cloud assets (Azure, AWS, GCP, etc.) are unified in the SOC (XDR Dashboard), including serverless and cloud workloads.
- Up-to-date asset inventory and risk score across all environments.
-  Continuous monitoring of cloud app configurations (including serverless) as part of routine posture audits.</t>
  </si>
  <si>
    <t>- The SOC employs generative AI agents to sift logs, identify patterns, and assist in threat hunting and detection engineering (e.g. suggesting queries or automating hypotheses generation).
- Natural language “Threat-Hunting Agents” and Copilot-driven workflows.
- Defined procedures for validating AI outputs
- Agents integrated into daily triage and hunting.</t>
  </si>
  <si>
    <t>- The SOC has a roadmap and procedures for increasing autonomous operations: e.g. defining agent Service Level Objectives (SLOs), assigning “owner of record” for agent-driven incidents, and criteria for phasing out manual tasks.
- Human and machine oversight of AI agents performing security or business tasks.
- Piloting of small-scale autonomous tasks (like automated recon or ticket handling) in the SOC.
- Clear guardrails and fallback to human control, to build trust in agent-driven operations gradually.</t>
  </si>
  <si>
    <t>- Autonomous AI agents (for security or other business functions) are treated as managed identities (through Entra Agent ID): each agent is inventoried, given appropriate access, and subject to lifecycle controls and monitoring.
- Agent ID supplemented with broad-scale agent security and governance through Agent 365 (Agent ID-based, non-Agent ID-based or shadow)</t>
  </si>
  <si>
    <t>A year ago, managing AI “agents” was theoretical – now Agent 365 and Entra Agent ID provide a comprehensive security and governance (including IAM) framework for them. This new set of capabilities lets organizations inventory all AI agents, control their credentials, usage, and lifecycle, and monitor actions.</t>
  </si>
  <si>
    <t>- Cybersecurity is managed as a business risk: regular board/executive oversight, tracked via key metrics (e.g. MFA coverage, patch times) and aligned with major frameworks/regulations.
- Compliance with frameworks (e.g. NIST CSF 2.0) and regulations (e.g. EU AI Act). 
-Senior leadership briefed on SOC metrics and alignment with new and updated standards.
- AI risk management integrated into GRC charters, procedures, and processes.
- Regulatory scrutiny extended to AI use in security operations.</t>
  </si>
  <si>
    <t>Automated Incident Response &amp; Containment</t>
  </si>
  <si>
    <t>Very new capability (just introduced); outside of early adopters, most SOCs still rely on manual or basic scripted incident response. These advanced autonomous containment features are only beginning to see pilot use in cutting-edge SOCs.</t>
  </si>
  <si>
    <t>All incident containment actions are manual (no automation).</t>
  </si>
  <si>
    <t>Basic automated scripts for containment exist for a few scenarios (isolating a host, disabling an account) but usage is limited and requires human initiation.</t>
  </si>
  <si>
    <t>Autonomous containment is enabled for common threats (e.g. auto-isolation of infected endpoints), including some third-party integrations; analysts supervise and fine-tune these automated actions</t>
  </si>
  <si>
    <t>Predominantly AI-driven, preemptive containment in place – the SOC’s XDR auto-hardens assets and disrupts attacks across on-prem and cloud with minimal human intervention (analysts oversee policies and intervene only when needed).</t>
  </si>
  <si>
    <t>NIST CSF (RS.MI), ISO/IEC 27035, CIS (Control 17)</t>
  </si>
  <si>
    <t>Incident response standards demand timely containment and mitigation of incidents. NIST CSF’s Respond Mitigation (RS.MI) emphasizes rapid action to contain threats, which this capability delivers via automation. ISO/IEC 27035 (incident management guidelines) and CIS Control 17 (Incident Response) likewise require defined response procedures – implementing automated containment still needs to follow approved playbooks and logging to meet these controls. By using autonomous tools under human oversight, the SOC accelerates containment while remaining compliant (ensuring that each automated action is auditable and aligns with the organization’s incident response policies).</t>
  </si>
  <si>
    <t>DevSecOps &amp; Supply Chain Security</t>
  </si>
  <si>
    <t>- The SOC extends into development: security tools (e.g. Defender for Cloud) integrate with code repositories and CI/CD pipelines to catch vulnerabilities early and tie them to runtime incidents for fast mitigation.
- Close collaboration with DevOps: code security findings (vulnerabilities, dependency risks) are handled as part of incident response, effectively “shift-left” – addressing threats in development to protect the software supply chain.</t>
  </si>
  <si>
    <t>Nascent area; few organizations have fully merged DevOps pipelines with SOC workflows. Some forward-leaning teams have begun linking code scan results to SOC alerts, but generally DevSecOps integration into incident response is in very early stages across the industry.</t>
  </si>
  <si>
    <t>Development vulnerabilities are handled separately by developers (SOC not involved in code security).</t>
  </si>
  <si>
    <t>Initial coordination between SOC and development teams established (e.g. sharing major vulnerability findings), but no formal integration; handling of code issues remains ad-hoc.</t>
  </si>
  <si>
    <t>Security scanning in CI/CD pipelines is connected to SOC monitoring – critical code flaws trigger alerts to the SOC, and analysts work with DevOps on remediation; supply chain risks are getting incorporated into incident workflows.</t>
  </si>
  <si>
    <t xml:space="preserve">Fully integrated DevSecOps workflow: code and pipeline security is a standard part of SOC operations. The SOC receives real-time alerts from development (vuln scans, repository changes) and uses AI-assisted tools to remediate issues quickly. “Shift-left” is achieved – the SOC and DevOps function as one team on security, </t>
  </si>
  <si>
    <t>NIST CSF (ID.SC), CIS (Control 16), ISO/IEC 27001 (secure development &amp; supplier controls)</t>
  </si>
  <si>
    <t>Frameworks increasingly require managing software and supply chain risks as part of cybersecurity. NIST CSF’s Supply Chain Risk Management (ID.SC) domain calls for understanding and mitigating risks from third-party software and development practices. CIS Control 16 (Application Software Security) mandates processes like code review, vulnerability scanning, and remediation in the development lifecycle. ISO/IEC 27001 also includes controls for secure development and supplier security (ensuring software is built and maintained securely and that vendor risks are managed). By integrating DevSecOps into the SOC, this capability meets those obligations – it brings code vulnerabilities and software supply chain issues into the same governed process as operational security incidents. This ensures compliance with standards that insist on end-to-end security (from code creation to runtime), and helps the organization proactively address weaknesses before they can be exploited in production.</t>
  </si>
  <si>
    <t xml:space="preserve">Created/edited by: </t>
  </si>
  <si>
    <t>Todd Ray</t>
  </si>
  <si>
    <t>- Robust incident response extends to recovery: disaster recovery (DR) plans, backups, and business continuity are well-established and regularly drilled.
- Continued regular disaster recovery drills and tabletop exercises ensure the SOC can recover from major incidents. 
- Recovery plans adjusted/continuously improved relative to ongoing advances in AI.
- Investment for improved resilience in the face of novel attack scenarios.</t>
  </si>
  <si>
    <t>(replace example value w/customer value)</t>
  </si>
  <si>
    <r>
      <t xml:space="preserve">- XDR platforms can automatically contain threats: </t>
    </r>
    <r>
      <rPr>
        <i/>
        <sz val="9"/>
        <color theme="1"/>
        <rFont val="Calibri"/>
        <family val="2"/>
        <scheme val="minor"/>
      </rPr>
      <t>predictive shielding</t>
    </r>
    <r>
      <rPr>
        <sz val="9"/>
        <color theme="1"/>
        <rFont val="Calibri"/>
        <family val="2"/>
        <scheme val="minor"/>
      </rPr>
      <t xml:space="preserve"> anticipates attacker moves and hardens targets; </t>
    </r>
    <r>
      <rPr>
        <i/>
        <sz val="9"/>
        <color theme="1"/>
        <rFont val="Calibri"/>
        <family val="2"/>
        <scheme val="minor"/>
      </rPr>
      <t>automatic attack disruption</t>
    </r>
    <r>
      <rPr>
        <sz val="9"/>
        <color theme="1"/>
        <rFont val="Calibri"/>
        <family val="2"/>
        <scheme val="minor"/>
      </rPr>
      <t xml:space="preserve"> extends containment to third-party systems (e.g. AWS, Okta).
- Transforms IR from manual/reactive playbooks to proactive defense, with autonomous containment actions executed at machine speed.</t>
    </r>
  </si>
  <si>
    <t>N=33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</si>
</sst>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b/>
      <i/>
      <sz val="14"/>
      <color theme="1"/>
      <name val="Calibri"/>
      <family val="2"/>
    </font>
    <font>
      <sz val="16"/>
      <color theme="1"/>
      <name val="Calibri"/>
      <family val="2"/>
      <scheme val="minor"/>
    </font>
    <font>
      <sz val="10"/>
      <color rgb="FF000000"/>
      <name val="Calibri"/>
      <family val="2"/>
      <scheme val="minor"/>
    </font>
    <font>
      <b/>
      <sz val="10"/>
      <color rgb="FFFFFFFF"/>
      <name val="Aptos"/>
      <family val="2"/>
    </font>
    <font>
      <b/>
      <sz val="10"/>
      <color theme="1"/>
      <name val="Aptos"/>
      <family val="2"/>
    </font>
    <font>
      <sz val="10"/>
      <color theme="1"/>
      <name val="Aptos"/>
      <family val="2"/>
    </font>
    <font>
      <b/>
      <sz val="10"/>
      <color theme="0"/>
      <name val="Aptos"/>
      <family val="2"/>
    </font>
    <font>
      <i/>
      <sz val="10"/>
      <color theme="1"/>
      <name val="Aptos"/>
      <family val="2"/>
    </font>
    <font>
      <b/>
      <i/>
      <sz val="11"/>
      <color theme="1"/>
      <name val="Aptos"/>
      <family val="2"/>
    </font>
    <font>
      <sz val="11"/>
      <color theme="1"/>
      <name val="Aptos"/>
      <family val="2"/>
    </font>
    <font>
      <i/>
      <sz val="11"/>
      <color theme="1"/>
      <name val="Aptos"/>
      <family val="2"/>
    </font>
    <font>
      <b/>
      <sz val="16"/>
      <color theme="1"/>
      <name val="Calibri"/>
      <family val="2"/>
      <scheme val="minor"/>
    </font>
    <font>
      <b/>
      <i/>
      <sz val="11"/>
      <color theme="1"/>
      <name val="Calibri"/>
      <family val="2"/>
    </font>
    <font>
      <b/>
      <sz val="10"/>
      <color theme="0"/>
      <name val="Calibri"/>
      <family val="2"/>
      <scheme val="minor"/>
    </font>
    <font>
      <b/>
      <sz val="11"/>
      <color theme="0"/>
      <name val="Calibri"/>
      <family val="2"/>
      <scheme val="minor"/>
    </font>
    <font>
      <i/>
      <sz val="12"/>
      <color theme="1"/>
      <name val="Calibri"/>
      <family val="2"/>
    </font>
    <font>
      <sz val="9"/>
      <color theme="1"/>
      <name val="Calibri"/>
      <family val="2"/>
      <scheme val="minor"/>
    </font>
    <font>
      <i/>
      <sz val="9"/>
      <color theme="1"/>
      <name val="Calibri"/>
      <family val="2"/>
      <scheme val="minor"/>
    </font>
    <font>
      <b/>
      <sz val="18"/>
      <color theme="1"/>
      <name val="Aptos"/>
      <family val="2"/>
    </font>
  </fonts>
  <fills count="9">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auto="1"/>
      </left>
      <right style="thin">
        <color auto="1"/>
      </right>
      <top style="thin">
        <color auto="1"/>
      </top>
      <bottom style="thick">
        <color auto="1"/>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auto="1"/>
      </bottom>
      <diagonal/>
    </border>
    <border>
      <left style="medium">
        <color indexed="64"/>
      </left>
      <right style="thin">
        <color indexed="64"/>
      </right>
      <top/>
      <bottom/>
      <diagonal/>
    </border>
    <border>
      <left style="medium">
        <color indexed="64"/>
      </left>
      <right style="thin">
        <color indexed="64"/>
      </right>
      <top/>
      <bottom style="thick">
        <color indexed="64"/>
      </bottom>
      <diagonal/>
    </border>
  </borders>
  <cellStyleXfs count="1">
    <xf numFmtId="0" fontId="0" fillId="0" borderId="0"/>
  </cellStyleXfs>
  <cellXfs count="93">
    <xf numFmtId="0" fontId="0" fillId="0" borderId="0" xfId="0"/>
    <xf numFmtId="1" fontId="0" fillId="0" borderId="4" xfId="0" applyNumberFormat="1" applyBorder="1" applyAlignment="1">
      <alignment horizontal="center" vertical="center"/>
    </xf>
    <xf numFmtId="0" fontId="2" fillId="0" borderId="0" xfId="0" applyFont="1"/>
    <xf numFmtId="0" fontId="1" fillId="0" borderId="4" xfId="0" applyFont="1" applyBorder="1" applyAlignment="1">
      <alignment horizontal="right"/>
    </xf>
    <xf numFmtId="0" fontId="0" fillId="0" borderId="0" xfId="0" applyAlignment="1">
      <alignment wrapText="1"/>
    </xf>
    <xf numFmtId="0" fontId="5" fillId="0" borderId="0" xfId="0" applyFont="1" applyAlignment="1">
      <alignment wrapText="1"/>
    </xf>
    <xf numFmtId="0" fontId="9" fillId="0" borderId="0" xfId="0" applyFont="1" applyAlignment="1">
      <alignment horizontal="left"/>
    </xf>
    <xf numFmtId="0" fontId="9" fillId="0" borderId="0" xfId="0" applyFont="1" applyAlignment="1">
      <alignment horizontal="left" vertical="top"/>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center" vertical="top"/>
    </xf>
    <xf numFmtId="0" fontId="9" fillId="0" borderId="0" xfId="0" applyFont="1" applyAlignment="1">
      <alignment horizontal="center" vertical="top" wrapText="1"/>
    </xf>
    <xf numFmtId="0" fontId="11" fillId="0" borderId="0" xfId="0" applyFont="1" applyAlignment="1">
      <alignment horizontal="center" wrapText="1"/>
    </xf>
    <xf numFmtId="0" fontId="12" fillId="0" borderId="0" xfId="0" applyFont="1" applyAlignment="1">
      <alignment horizontal="left"/>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center" wrapText="1"/>
    </xf>
    <xf numFmtId="0" fontId="10" fillId="2" borderId="0" xfId="0" applyFont="1" applyFill="1" applyAlignment="1">
      <alignment horizontal="left" wrapText="1"/>
    </xf>
    <xf numFmtId="0" fontId="10" fillId="8" borderId="0" xfId="0" applyFont="1" applyFill="1" applyAlignment="1">
      <alignment horizontal="center" wrapText="1"/>
    </xf>
    <xf numFmtId="0" fontId="8" fillId="4" borderId="0" xfId="0" applyFont="1" applyFill="1" applyAlignment="1">
      <alignment horizontal="left" wrapText="1"/>
    </xf>
    <xf numFmtId="0" fontId="8" fillId="7" borderId="0" xfId="0" applyFont="1" applyFill="1" applyAlignment="1">
      <alignment horizontal="left" wrapText="1"/>
    </xf>
    <xf numFmtId="0" fontId="8" fillId="5" borderId="0" xfId="0" applyFont="1" applyFill="1" applyAlignment="1">
      <alignment horizontal="left" wrapText="1"/>
    </xf>
    <xf numFmtId="0" fontId="8" fillId="3" borderId="0" xfId="0" applyFont="1" applyFill="1" applyAlignment="1">
      <alignment horizontal="left" wrapText="1"/>
    </xf>
    <xf numFmtId="0" fontId="7" fillId="2" borderId="0" xfId="0" applyFont="1" applyFill="1" applyAlignment="1">
      <alignment horizontal="left" wrapText="1"/>
    </xf>
    <xf numFmtId="1" fontId="13" fillId="0" borderId="1" xfId="0" applyNumberFormat="1" applyFont="1" applyBorder="1" applyAlignment="1">
      <alignment horizontal="right" vertical="center"/>
    </xf>
    <xf numFmtId="1" fontId="13" fillId="0" borderId="1" xfId="0" applyNumberFormat="1" applyFont="1" applyBorder="1" applyAlignment="1">
      <alignment horizontal="left" vertical="top" wrapText="1"/>
    </xf>
    <xf numFmtId="0" fontId="13" fillId="0" borderId="1" xfId="0" applyFont="1" applyBorder="1" applyAlignment="1">
      <alignment horizontal="right"/>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1" fontId="13" fillId="0" borderId="1" xfId="0" applyNumberFormat="1" applyFont="1" applyBorder="1" applyAlignment="1">
      <alignment horizontal="right"/>
    </xf>
    <xf numFmtId="0" fontId="1" fillId="0" borderId="11" xfId="0" applyFont="1" applyBorder="1"/>
    <xf numFmtId="0" fontId="0" fillId="0" borderId="3" xfId="0" applyBorder="1"/>
    <xf numFmtId="0" fontId="0" fillId="0" borderId="13" xfId="0" applyBorder="1"/>
    <xf numFmtId="0" fontId="15" fillId="0" borderId="0" xfId="0" applyFont="1"/>
    <xf numFmtId="1" fontId="0" fillId="0" borderId="3" xfId="0" applyNumberFormat="1" applyBorder="1" applyAlignment="1">
      <alignment horizontal="right" vertical="center"/>
    </xf>
    <xf numFmtId="0" fontId="17" fillId="2" borderId="5" xfId="0" applyFont="1" applyFill="1" applyBorder="1" applyAlignment="1">
      <alignment horizontal="center" wrapText="1"/>
    </xf>
    <xf numFmtId="0" fontId="17" fillId="2" borderId="2" xfId="0" applyFont="1" applyFill="1" applyBorder="1" applyAlignment="1">
      <alignment horizontal="center" wrapText="1"/>
    </xf>
    <xf numFmtId="0" fontId="17" fillId="2" borderId="11" xfId="0" applyFont="1" applyFill="1" applyBorder="1" applyAlignment="1">
      <alignment horizontal="center" wrapText="1"/>
    </xf>
    <xf numFmtId="1" fontId="18" fillId="2" borderId="2" xfId="0" applyNumberFormat="1" applyFont="1" applyFill="1" applyBorder="1" applyAlignment="1">
      <alignment horizontal="left"/>
    </xf>
    <xf numFmtId="1" fontId="18" fillId="2" borderId="2" xfId="0" applyNumberFormat="1" applyFont="1" applyFill="1" applyBorder="1" applyAlignment="1">
      <alignment horizontal="left" wrapText="1"/>
    </xf>
    <xf numFmtId="0" fontId="18" fillId="2" borderId="11" xfId="0" applyFont="1" applyFill="1" applyBorder="1" applyAlignment="1">
      <alignment horizontal="left" wrapText="1"/>
    </xf>
    <xf numFmtId="0" fontId="1" fillId="0" borderId="0" xfId="0" applyFont="1" applyAlignment="1">
      <alignment horizontal="right" vertical="center"/>
    </xf>
    <xf numFmtId="1" fontId="0" fillId="7" borderId="9" xfId="0" applyNumberFormat="1" applyFill="1" applyBorder="1" applyAlignment="1">
      <alignment horizontal="center" vertical="center"/>
    </xf>
    <xf numFmtId="1" fontId="6" fillId="4" borderId="6" xfId="0" applyNumberFormat="1" applyFont="1" applyFill="1" applyBorder="1" applyAlignment="1">
      <alignment horizontal="center" vertical="center" wrapText="1"/>
    </xf>
    <xf numFmtId="1" fontId="6" fillId="4" borderId="14" xfId="0" applyNumberFormat="1" applyFont="1" applyFill="1" applyBorder="1" applyAlignment="1">
      <alignment horizontal="center" vertical="center" wrapText="1"/>
    </xf>
    <xf numFmtId="0" fontId="13" fillId="4" borderId="12" xfId="0" applyFont="1" applyFill="1" applyBorder="1" applyAlignment="1">
      <alignment horizontal="left" vertical="top"/>
    </xf>
    <xf numFmtId="0" fontId="14" fillId="4" borderId="12" xfId="0" applyFont="1" applyFill="1" applyBorder="1" applyAlignment="1">
      <alignment horizontal="left" vertical="top"/>
    </xf>
    <xf numFmtId="0" fontId="1" fillId="7" borderId="15" xfId="0" applyFont="1" applyFill="1" applyBorder="1" applyAlignment="1">
      <alignment horizontal="left" vertical="center"/>
    </xf>
    <xf numFmtId="0" fontId="1" fillId="4" borderId="0" xfId="0" applyFont="1" applyFill="1" applyAlignment="1">
      <alignment horizontal="center" vertical="center"/>
    </xf>
    <xf numFmtId="0" fontId="1" fillId="7" borderId="0" xfId="0" applyFont="1" applyFill="1" applyAlignment="1">
      <alignment horizontal="center" vertical="center"/>
    </xf>
    <xf numFmtId="0" fontId="0" fillId="0" borderId="2" xfId="0" applyBorder="1" applyAlignment="1">
      <alignment horizontal="left" wrapText="1"/>
    </xf>
    <xf numFmtId="0" fontId="0" fillId="0" borderId="4" xfId="0" applyBorder="1" applyAlignment="1">
      <alignment wrapText="1"/>
    </xf>
    <xf numFmtId="0" fontId="3" fillId="6" borderId="10" xfId="0" applyFont="1" applyFill="1" applyBorder="1" applyAlignment="1">
      <alignment horizontal="right" wrapText="1"/>
    </xf>
    <xf numFmtId="0" fontId="3" fillId="0" borderId="2" xfId="0" applyFont="1" applyBorder="1" applyAlignment="1">
      <alignment horizontal="right" wrapText="1"/>
    </xf>
    <xf numFmtId="0" fontId="1" fillId="0" borderId="3" xfId="0" applyFont="1" applyBorder="1" applyAlignment="1">
      <alignment horizontal="right" vertical="center" wrapText="1"/>
    </xf>
    <xf numFmtId="0" fontId="0" fillId="0" borderId="9" xfId="0" applyBorder="1" applyAlignment="1">
      <alignment horizontal="right" vertical="center" wrapText="1"/>
    </xf>
    <xf numFmtId="0" fontId="8" fillId="0" borderId="0" xfId="0" applyFont="1" applyAlignment="1">
      <alignment horizontal="center" vertical="top"/>
    </xf>
    <xf numFmtId="0" fontId="0" fillId="0" borderId="1" xfId="0" applyBorder="1" applyAlignment="1">
      <alignment horizontal="left" vertical="top" wrapText="1"/>
    </xf>
    <xf numFmtId="0" fontId="0" fillId="0" borderId="16" xfId="0" applyBorder="1" applyAlignment="1">
      <alignment horizontal="left" vertical="top" wrapText="1"/>
    </xf>
    <xf numFmtId="1" fontId="0" fillId="0" borderId="19" xfId="0" applyNumberFormat="1" applyBorder="1" applyAlignment="1">
      <alignment horizontal="right" vertical="center"/>
    </xf>
    <xf numFmtId="1" fontId="0" fillId="0" borderId="20" xfId="0" applyNumberFormat="1" applyBorder="1" applyAlignment="1">
      <alignment horizontal="right" vertical="center"/>
    </xf>
    <xf numFmtId="0" fontId="20" fillId="0" borderId="0" xfId="0" applyFont="1" applyFill="1" applyBorder="1" applyAlignment="1">
      <alignment horizontal="center" vertical="top" wrapText="1"/>
    </xf>
    <xf numFmtId="0" fontId="20" fillId="0" borderId="0" xfId="0" applyFont="1" applyFill="1" applyBorder="1" applyAlignment="1">
      <alignment vertical="top" wrapText="1"/>
    </xf>
    <xf numFmtId="0" fontId="20" fillId="0" borderId="0" xfId="0" quotePrefix="1" applyFont="1" applyFill="1" applyBorder="1" applyAlignment="1">
      <alignment vertical="top" wrapText="1"/>
    </xf>
    <xf numFmtId="0" fontId="9" fillId="0" borderId="0" xfId="0" applyFont="1" applyBorder="1" applyAlignment="1">
      <alignment horizontal="center" vertical="top"/>
    </xf>
    <xf numFmtId="0" fontId="9" fillId="0" borderId="0" xfId="0" applyFont="1" applyBorder="1" applyAlignment="1">
      <alignment horizontal="left" vertical="top" wrapText="1"/>
    </xf>
    <xf numFmtId="0" fontId="9" fillId="5" borderId="0" xfId="0" applyFont="1" applyFill="1" applyBorder="1" applyAlignment="1">
      <alignment horizontal="left" vertical="top" wrapText="1"/>
    </xf>
    <xf numFmtId="0" fontId="9" fillId="0" borderId="0" xfId="0" applyFont="1" applyBorder="1" applyAlignment="1">
      <alignment horizontal="center" vertical="top" wrapText="1"/>
    </xf>
    <xf numFmtId="0" fontId="0" fillId="0" borderId="1" xfId="0" applyBorder="1" applyAlignment="1">
      <alignment horizontal="right"/>
    </xf>
    <xf numFmtId="0" fontId="0" fillId="0" borderId="16" xfId="0" applyBorder="1" applyAlignment="1">
      <alignment horizontal="right"/>
    </xf>
    <xf numFmtId="0" fontId="9" fillId="0" borderId="0" xfId="0" quotePrefix="1" applyFont="1" applyBorder="1" applyAlignment="1">
      <alignment horizontal="left" vertical="top" wrapText="1"/>
    </xf>
    <xf numFmtId="0" fontId="0" fillId="0" borderId="0" xfId="0" applyAlignment="1">
      <alignment vertical="center" wrapText="1"/>
    </xf>
    <xf numFmtId="15" fontId="1" fillId="0" borderId="0" xfId="0" applyNumberFormat="1" applyFont="1" applyAlignment="1">
      <alignment horizontal="left" vertical="center"/>
    </xf>
    <xf numFmtId="0" fontId="1" fillId="0" borderId="0" xfId="0" applyFont="1" applyBorder="1" applyAlignment="1">
      <alignment horizontal="right" vertical="center"/>
    </xf>
    <xf numFmtId="1" fontId="0" fillId="7" borderId="0" xfId="0" applyNumberFormat="1" applyFill="1" applyBorder="1" applyAlignment="1">
      <alignment horizontal="center" vertical="center"/>
    </xf>
    <xf numFmtId="0" fontId="1" fillId="0" borderId="0" xfId="0" applyFont="1" applyBorder="1" applyAlignment="1">
      <alignment horizontal="right"/>
    </xf>
    <xf numFmtId="1" fontId="0" fillId="0" borderId="0" xfId="0" applyNumberFormat="1" applyBorder="1" applyAlignment="1">
      <alignment horizontal="center" vertical="center"/>
    </xf>
    <xf numFmtId="0" fontId="0" fillId="0" borderId="9" xfId="0" applyBorder="1"/>
    <xf numFmtId="0" fontId="0" fillId="0" borderId="15" xfId="0" applyBorder="1"/>
    <xf numFmtId="0" fontId="0" fillId="0" borderId="0" xfId="0" applyBorder="1"/>
    <xf numFmtId="0" fontId="4" fillId="0" borderId="2" xfId="0" applyFont="1" applyBorder="1" applyAlignment="1">
      <alignment horizontal="left" wrapText="1"/>
    </xf>
    <xf numFmtId="0" fontId="16" fillId="0" borderId="4" xfId="0" applyFont="1" applyBorder="1" applyAlignment="1">
      <alignment horizontal="right" vertical="center" wrapText="1"/>
    </xf>
    <xf numFmtId="1" fontId="18" fillId="2" borderId="2" xfId="0" applyNumberFormat="1" applyFont="1" applyFill="1" applyBorder="1" applyAlignment="1">
      <alignment horizontal="right"/>
    </xf>
    <xf numFmtId="1" fontId="0" fillId="0" borderId="0" xfId="0" applyNumberFormat="1" applyBorder="1" applyAlignment="1">
      <alignment horizontal="right" vertical="center"/>
    </xf>
    <xf numFmtId="1" fontId="0" fillId="0" borderId="15" xfId="0" applyNumberFormat="1" applyBorder="1" applyAlignment="1">
      <alignment horizontal="center" vertical="center"/>
    </xf>
    <xf numFmtId="0" fontId="20" fillId="5" borderId="0" xfId="0" applyFont="1" applyFill="1" applyBorder="1" applyAlignment="1">
      <alignment vertical="top" wrapText="1"/>
    </xf>
    <xf numFmtId="0" fontId="9" fillId="0" borderId="7" xfId="0" applyFont="1" applyBorder="1" applyAlignment="1">
      <alignment horizontal="left" wrapText="1"/>
    </xf>
    <xf numFmtId="0" fontId="22" fillId="0" borderId="0" xfId="0" applyFont="1" applyAlignment="1">
      <alignment horizontal="left" vertical="center"/>
    </xf>
    <xf numFmtId="0" fontId="13" fillId="0" borderId="12" xfId="0" applyFont="1" applyFill="1" applyBorder="1" applyAlignment="1">
      <alignment horizontal="left" vertical="top"/>
    </xf>
    <xf numFmtId="0" fontId="0" fillId="0" borderId="17" xfId="0" applyFill="1" applyBorder="1" applyAlignment="1">
      <alignment horizontal="left" vertical="top"/>
    </xf>
    <xf numFmtId="0" fontId="0" fillId="0" borderId="18" xfId="0" applyFill="1" applyBorder="1" applyAlignment="1">
      <alignment horizontal="left" vertical="top"/>
    </xf>
  </cellXfs>
  <cellStyles count="1">
    <cellStyle name="Normal" xfId="0" builtinId="0"/>
  </cellStyles>
  <dxfs count="4">
    <dxf>
      <fill>
        <patternFill>
          <bgColor rgb="FF00B0F0"/>
        </patternFill>
      </fill>
    </dxf>
    <dxf>
      <fill>
        <patternFill>
          <bgColor theme="4" tint="0.79998168889431442"/>
        </patternFill>
      </fill>
    </dxf>
    <dxf>
      <fill>
        <patternFill>
          <bgColor theme="6" tint="0.79998168889431442"/>
        </patternFill>
      </fill>
    </dxf>
    <dxf>
      <fill>
        <patternFill>
          <bgColor rgb="FFFFFF00"/>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AI-Enabled</a:t>
            </a:r>
            <a:r>
              <a:rPr lang="en-US" baseline="0"/>
              <a:t> SOC - CMM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 State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Rollup!$C$2:$I$2</c:f>
              <c:strCache>
                <c:ptCount val="7"/>
                <c:pt idx="0">
                  <c:v>People</c:v>
                </c:pt>
                <c:pt idx="1">
                  <c:v>Process</c:v>
                </c:pt>
                <c:pt idx="2">
                  <c:v>Technology / Platform</c:v>
                </c:pt>
                <c:pt idx="3">
                  <c:v>Data / Telemetry &amp; TI</c:v>
                </c:pt>
                <c:pt idx="4">
                  <c:v>Governance / Compliance</c:v>
                </c:pt>
                <c:pt idx="5">
                  <c:v>Ops Model &amp; Services</c:v>
                </c:pt>
                <c:pt idx="6">
                  <c:v>Metrics / Outcomes</c:v>
                </c:pt>
              </c:strCache>
            </c:strRef>
          </c:cat>
          <c:val>
            <c:numRef>
              <c:f>Rollup!$C$3:$I$3</c:f>
              <c:numCache>
                <c:formatCode>0</c:formatCode>
                <c:ptCount val="7"/>
                <c:pt idx="0">
                  <c:v>112.5</c:v>
                </c:pt>
                <c:pt idx="1">
                  <c:v>100</c:v>
                </c:pt>
                <c:pt idx="2">
                  <c:v>162.5</c:v>
                </c:pt>
                <c:pt idx="3">
                  <c:v>150</c:v>
                </c:pt>
                <c:pt idx="4">
                  <c:v>112.5</c:v>
                </c:pt>
                <c:pt idx="5">
                  <c:v>130</c:v>
                </c:pt>
                <c:pt idx="6">
                  <c:v>130</c:v>
                </c:pt>
              </c:numCache>
            </c:numRef>
          </c:val>
          <c:extLst>
            <c:ext xmlns:c16="http://schemas.microsoft.com/office/drawing/2014/chart" uri="{C3380CC4-5D6E-409C-BE32-E72D297353CC}">
              <c16:uniqueId val="{00000000-9185-4CDC-9088-FAF663A96BAC}"/>
            </c:ext>
          </c:extLst>
        </c:ser>
        <c:ser>
          <c:idx val="1"/>
          <c:order val="1"/>
          <c:tx>
            <c:v>Target</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Rollup!$C$2:$I$2</c:f>
              <c:strCache>
                <c:ptCount val="7"/>
                <c:pt idx="0">
                  <c:v>People</c:v>
                </c:pt>
                <c:pt idx="1">
                  <c:v>Process</c:v>
                </c:pt>
                <c:pt idx="2">
                  <c:v>Technology / Platform</c:v>
                </c:pt>
                <c:pt idx="3">
                  <c:v>Data / Telemetry &amp; TI</c:v>
                </c:pt>
                <c:pt idx="4">
                  <c:v>Governance / Compliance</c:v>
                </c:pt>
                <c:pt idx="5">
                  <c:v>Ops Model &amp; Services</c:v>
                </c:pt>
                <c:pt idx="6">
                  <c:v>Metrics / Outcomes</c:v>
                </c:pt>
              </c:strCache>
            </c:strRef>
          </c:cat>
          <c:val>
            <c:numRef>
              <c:f>Rollup!$C$4:$I$4</c:f>
              <c:numCache>
                <c:formatCode>0</c:formatCode>
                <c:ptCount val="7"/>
                <c:pt idx="0">
                  <c:v>250</c:v>
                </c:pt>
                <c:pt idx="1">
                  <c:v>250</c:v>
                </c:pt>
                <c:pt idx="2">
                  <c:v>250</c:v>
                </c:pt>
                <c:pt idx="3">
                  <c:v>275</c:v>
                </c:pt>
                <c:pt idx="4">
                  <c:v>300</c:v>
                </c:pt>
                <c:pt idx="5">
                  <c:v>250</c:v>
                </c:pt>
                <c:pt idx="6">
                  <c:v>300</c:v>
                </c:pt>
              </c:numCache>
            </c:numRef>
          </c:val>
          <c:extLst>
            <c:ext xmlns:c16="http://schemas.microsoft.com/office/drawing/2014/chart" uri="{C3380CC4-5D6E-409C-BE32-E72D297353CC}">
              <c16:uniqueId val="{00000001-9185-4CDC-9088-FAF663A96BAC}"/>
            </c:ext>
          </c:extLst>
        </c:ser>
        <c:dLbls>
          <c:showLegendKey val="0"/>
          <c:showVal val="0"/>
          <c:showCatName val="0"/>
          <c:showSerName val="0"/>
          <c:showPercent val="0"/>
          <c:showBubbleSize val="0"/>
        </c:dLbls>
        <c:axId val="1776456351"/>
        <c:axId val="1788936047"/>
      </c:radarChart>
      <c:catAx>
        <c:axId val="177645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36047"/>
        <c:crosses val="autoZero"/>
        <c:auto val="1"/>
        <c:lblAlgn val="ctr"/>
        <c:lblOffset val="100"/>
        <c:noMultiLvlLbl val="0"/>
      </c:catAx>
      <c:valAx>
        <c:axId val="1788936047"/>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456351"/>
        <c:crosses val="autoZero"/>
        <c:crossBetween val="between"/>
        <c:majorUnit val="100"/>
        <c:minorUnit val="5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31748</xdr:colOff>
      <xdr:row>5</xdr:row>
      <xdr:rowOff>18142</xdr:rowOff>
    </xdr:from>
    <xdr:to>
      <xdr:col>8</xdr:col>
      <xdr:colOff>685799</xdr:colOff>
      <xdr:row>24</xdr:row>
      <xdr:rowOff>136072</xdr:rowOff>
    </xdr:to>
    <xdr:graphicFrame macro="">
      <xdr:nvGraphicFramePr>
        <xdr:cNvPr id="2" name="Chart 1">
          <a:extLst>
            <a:ext uri="{FF2B5EF4-FFF2-40B4-BE49-F238E27FC236}">
              <a16:creationId xmlns:a16="http://schemas.microsoft.com/office/drawing/2014/main" id="{73514E5C-9CD3-F781-D19C-47EF93403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089D-21CE-4E42-AE79-933BACFD59FD}">
  <dimension ref="A1:R38"/>
  <sheetViews>
    <sheetView showGridLines="0" tabSelected="1" topLeftCell="A4" zoomScale="115" zoomScaleNormal="115" workbookViewId="0">
      <selection activeCell="M35" sqref="M35:M37"/>
    </sheetView>
  </sheetViews>
  <sheetFormatPr defaultRowHeight="14.5" x14ac:dyDescent="0.35"/>
  <cols>
    <col min="1" max="1" width="14.6328125" customWidth="1"/>
    <col min="2" max="2" width="9.1796875" customWidth="1"/>
    <col min="3" max="10" width="10.08984375" customWidth="1"/>
    <col min="11" max="11" width="41.90625" customWidth="1"/>
    <col min="12" max="12" width="31.7265625" style="16" customWidth="1"/>
    <col min="13" max="13" width="15.08984375" style="17" customWidth="1"/>
    <col min="14" max="14" width="15.08984375" customWidth="1"/>
    <col min="15" max="16" width="12.7265625" customWidth="1"/>
    <col min="17" max="17" width="15.90625" customWidth="1"/>
    <col min="18" max="18" width="29.1796875" customWidth="1"/>
    <col min="19" max="20" width="10.54296875" customWidth="1"/>
  </cols>
  <sheetData>
    <row r="1" spans="1:18" ht="21.5" thickBot="1" x14ac:dyDescent="0.55000000000000004">
      <c r="A1" s="35" t="s">
        <v>21</v>
      </c>
      <c r="B1" s="5"/>
      <c r="C1" s="5"/>
      <c r="D1" s="5"/>
      <c r="H1" s="50" t="s">
        <v>333</v>
      </c>
      <c r="I1" s="51" t="s">
        <v>334</v>
      </c>
      <c r="K1" s="43" t="s">
        <v>361</v>
      </c>
      <c r="L1" s="73" t="s">
        <v>362</v>
      </c>
      <c r="M1" s="74">
        <v>45992</v>
      </c>
      <c r="R1" s="4"/>
    </row>
    <row r="2" spans="1:18" ht="56" customHeight="1" thickBot="1" x14ac:dyDescent="0.5">
      <c r="A2" s="54" t="s">
        <v>287</v>
      </c>
      <c r="B2" s="55"/>
      <c r="C2" s="37" t="s">
        <v>2</v>
      </c>
      <c r="D2" s="38" t="s">
        <v>3</v>
      </c>
      <c r="E2" s="38" t="s">
        <v>5</v>
      </c>
      <c r="F2" s="38" t="s">
        <v>6</v>
      </c>
      <c r="G2" s="38" t="s">
        <v>9</v>
      </c>
      <c r="H2" s="38" t="s">
        <v>10</v>
      </c>
      <c r="I2" s="39" t="s">
        <v>12</v>
      </c>
      <c r="J2" s="82" t="s">
        <v>335</v>
      </c>
      <c r="K2" s="52"/>
      <c r="L2" s="52"/>
      <c r="M2" s="32" t="s">
        <v>329</v>
      </c>
    </row>
    <row r="3" spans="1:18" ht="48" customHeight="1" thickBot="1" x14ac:dyDescent="0.4">
      <c r="A3" s="56" t="s">
        <v>289</v>
      </c>
      <c r="B3" s="57"/>
      <c r="C3" s="45">
        <f>IFERROR(
  AVERAGEIFS(
    'SOF - AI-Enabled SOC'!$F$3:$F$35,
    'SOF - AI-Enabled SOC'!$B$3:$B$35, C2,
    'SOF - AI-Enabled SOC'!$F$3:$F$35, "&gt;0"
  ),
  0
)</f>
        <v>112.5</v>
      </c>
      <c r="D3" s="45">
        <f>IFERROR(
  AVERAGEIFS(
    'SOF - AI-Enabled SOC'!$F$3:$F$35,
    'SOF - AI-Enabled SOC'!$B$3:$B$35, D2,
    'SOF - AI-Enabled SOC'!$F$3:$F$35, "&gt;0"
  ),
  0
)</f>
        <v>100</v>
      </c>
      <c r="E3" s="45">
        <f>IFERROR(
  AVERAGEIFS(
    'SOF - AI-Enabled SOC'!$F$3:$F$35,
    'SOF - AI-Enabled SOC'!$B$3:$B$35, E2,
    'SOF - AI-Enabled SOC'!$F$3:$F$35, "&gt;0"
  ),
  0
)</f>
        <v>162.5</v>
      </c>
      <c r="F3" s="45">
        <f>IFERROR(
  AVERAGEIFS(
    'SOF - AI-Enabled SOC'!$F$3:$F$35,
    'SOF - AI-Enabled SOC'!$B$3:$B$35, F2,
    'SOF - AI-Enabled SOC'!$F$3:$F$35, "&gt;0"
  ),
  0
)</f>
        <v>150</v>
      </c>
      <c r="G3" s="45">
        <f>IFERROR(
  AVERAGEIFS(
    'SOF - AI-Enabled SOC'!$F$3:$F$35,
    'SOF - AI-Enabled SOC'!$B$3:$B$35, G2,
    'SOF - AI-Enabled SOC'!$F$3:$F$35, "&gt;0"
  ),
  0
)</f>
        <v>112.5</v>
      </c>
      <c r="H3" s="45">
        <f>IFERROR(
  AVERAGEIFS(
    'SOF - AI-Enabled SOC'!$F$3:$F$35,
    'SOF - AI-Enabled SOC'!$B$3:$B$35, H2,
    'SOF - AI-Enabled SOC'!$F$3:$F$35, "&gt;0"
  ),
  0
)</f>
        <v>130</v>
      </c>
      <c r="I3" s="46">
        <f>IFERROR(
  AVERAGEIFS(
    'SOF - AI-Enabled SOC'!$F$3:$F$35,
    'SOF - AI-Enabled SOC'!$B$3:$B$35, I2,
    'SOF - AI-Enabled SOC'!$F$3:$F$35, "&gt;0"
  ),
  0
)</f>
        <v>130</v>
      </c>
      <c r="J3" s="83" t="s">
        <v>332</v>
      </c>
      <c r="K3" s="53"/>
      <c r="L3" s="53"/>
      <c r="M3" s="49">
        <v>100</v>
      </c>
    </row>
    <row r="4" spans="1:18" ht="29" x14ac:dyDescent="0.35">
      <c r="A4" s="33"/>
      <c r="B4" s="75" t="s">
        <v>288</v>
      </c>
      <c r="C4" s="76">
        <v>250</v>
      </c>
      <c r="D4" s="76">
        <v>250</v>
      </c>
      <c r="E4" s="76">
        <v>250</v>
      </c>
      <c r="F4" s="76">
        <v>275</v>
      </c>
      <c r="G4" s="76">
        <v>300</v>
      </c>
      <c r="H4" s="76">
        <v>250</v>
      </c>
      <c r="I4" s="44">
        <v>300</v>
      </c>
      <c r="J4" s="84" t="s">
        <v>366</v>
      </c>
      <c r="K4" s="40" t="s">
        <v>324</v>
      </c>
      <c r="L4" s="41" t="s">
        <v>323</v>
      </c>
      <c r="M4" s="42" t="s">
        <v>331</v>
      </c>
    </row>
    <row r="5" spans="1:18" ht="15" thickBot="1" x14ac:dyDescent="0.4">
      <c r="A5" s="34"/>
      <c r="B5" s="3" t="s">
        <v>330</v>
      </c>
      <c r="C5" s="1">
        <f>C3-C4</f>
        <v>-137.5</v>
      </c>
      <c r="D5" s="1">
        <f t="shared" ref="D5:I5" si="0">D3-D4</f>
        <v>-150</v>
      </c>
      <c r="E5" s="1">
        <f t="shared" si="0"/>
        <v>-87.5</v>
      </c>
      <c r="F5" s="1">
        <f t="shared" si="0"/>
        <v>-125</v>
      </c>
      <c r="G5" s="1">
        <f t="shared" si="0"/>
        <v>-187.5</v>
      </c>
      <c r="H5" s="1">
        <f t="shared" si="0"/>
        <v>-120</v>
      </c>
      <c r="I5" s="86">
        <f t="shared" si="0"/>
        <v>-170</v>
      </c>
      <c r="J5" s="85">
        <v>1</v>
      </c>
      <c r="K5" s="26" t="str" cm="1">
        <f t="array" ref="K5:M37">_xlfn.LET(
    _xlpm.sub, 'SOF - AI-Enabled SOC'!$C$3:$C$35,
    _xlpm.cat, 'SOF - AI-Enabled SOC'!$B$3:$B$35,
    _xlpm.gap, 'SOF - AI-Enabled SOC'!$H$3:$H$35,
    _xlpm.data,  CHOOSE({1,2,3}, _xlpm.sub, _xlpm.cat, _xlpm.gap),
    _xlpm.valid, _xlfn._xlws.FILTER(
             _xlpm.data,
             ISNUMBER(_xlpm.gap) * (_xlpm.gap &lt;= Rollup!$M$3)
           ),
    _xlfn._xlws.SORT(_xlpm.valid, 3, 1)
)</f>
        <v>Generative AI governance &amp; oversight</v>
      </c>
      <c r="L5" s="27" t="str">
        <v>Governance / Compliance</v>
      </c>
      <c r="M5" s="47">
        <v>-250</v>
      </c>
    </row>
    <row r="6" spans="1:18" x14ac:dyDescent="0.35">
      <c r="A6" s="33"/>
      <c r="B6" s="77"/>
      <c r="C6" s="78"/>
      <c r="D6" s="78"/>
      <c r="E6" s="78"/>
      <c r="F6" s="78"/>
      <c r="G6" s="78"/>
      <c r="H6" s="78"/>
      <c r="I6" s="79"/>
      <c r="J6" s="36">
        <f>J5+1</f>
        <v>2</v>
      </c>
      <c r="K6" s="28" t="str">
        <v>AI agent governance &amp; lifecycle</v>
      </c>
      <c r="L6" s="27" t="str">
        <v>Governance / Compliance</v>
      </c>
      <c r="M6" s="47">
        <v>-250</v>
      </c>
    </row>
    <row r="7" spans="1:18" x14ac:dyDescent="0.35">
      <c r="A7" s="33"/>
      <c r="B7" s="77"/>
      <c r="C7" s="78"/>
      <c r="D7" s="78"/>
      <c r="E7" s="78"/>
      <c r="F7" s="78"/>
      <c r="G7" s="78"/>
      <c r="H7" s="78"/>
      <c r="I7" s="79"/>
      <c r="J7" s="36">
        <f t="shared" ref="J7:J19" si="1">J6+1</f>
        <v>3</v>
      </c>
      <c r="K7" s="26" t="str">
        <v>Autonomous operations metrics</v>
      </c>
      <c r="L7" s="27" t="str">
        <v>Metrics / Outcomes</v>
      </c>
      <c r="M7" s="47">
        <v>-250</v>
      </c>
    </row>
    <row r="8" spans="1:18" x14ac:dyDescent="0.35">
      <c r="A8" s="33"/>
      <c r="B8" s="77"/>
      <c r="C8" s="78"/>
      <c r="D8" s="78"/>
      <c r="E8" s="78"/>
      <c r="F8" s="78"/>
      <c r="G8" s="78"/>
      <c r="H8" s="78"/>
      <c r="I8" s="79"/>
      <c r="J8" s="36">
        <f t="shared" si="1"/>
        <v>4</v>
      </c>
      <c r="K8" s="26" t="str">
        <v>Analyst augmentation with GenAI</v>
      </c>
      <c r="L8" s="27" t="str">
        <v>People</v>
      </c>
      <c r="M8" s="47">
        <v>-200</v>
      </c>
    </row>
    <row r="9" spans="1:18" x14ac:dyDescent="0.35">
      <c r="A9" s="33"/>
      <c r="B9" s="77"/>
      <c r="C9" s="78"/>
      <c r="D9" s="78"/>
      <c r="E9" s="78"/>
      <c r="F9" s="78"/>
      <c r="G9" s="78"/>
      <c r="H9" s="78"/>
      <c r="I9" s="79"/>
      <c r="J9" s="36">
        <f t="shared" si="1"/>
        <v>5</v>
      </c>
      <c r="K9" s="26" t="str">
        <v>AI &amp; automation skills development</v>
      </c>
      <c r="L9" s="27" t="str">
        <v>People</v>
      </c>
      <c r="M9" s="47">
        <v>-200</v>
      </c>
    </row>
    <row r="10" spans="1:18" x14ac:dyDescent="0.35">
      <c r="A10" s="33"/>
      <c r="B10" s="77"/>
      <c r="C10" s="78"/>
      <c r="D10" s="78"/>
      <c r="E10" s="78"/>
      <c r="F10" s="78"/>
      <c r="G10" s="78"/>
      <c r="H10" s="78"/>
      <c r="I10" s="79"/>
      <c r="J10" s="36">
        <f t="shared" si="1"/>
        <v>6</v>
      </c>
      <c r="K10" s="26" t="str">
        <v>AI-assisted investigation &amp; response</v>
      </c>
      <c r="L10" s="27" t="str">
        <v>Process</v>
      </c>
      <c r="M10" s="47">
        <v>-200</v>
      </c>
    </row>
    <row r="11" spans="1:18" x14ac:dyDescent="0.35">
      <c r="A11" s="33"/>
      <c r="B11" s="77"/>
      <c r="C11" s="78"/>
      <c r="D11" s="78"/>
      <c r="E11" s="78"/>
      <c r="F11" s="78"/>
      <c r="G11" s="78"/>
      <c r="H11" s="78"/>
      <c r="I11" s="79"/>
      <c r="J11" s="36">
        <f t="shared" si="1"/>
        <v>7</v>
      </c>
      <c r="K11" s="26" t="str">
        <v>Agentic workflows &amp; continuous learning</v>
      </c>
      <c r="L11" s="27" t="str">
        <v>Process</v>
      </c>
      <c r="M11" s="47">
        <v>-200</v>
      </c>
    </row>
    <row r="12" spans="1:18" x14ac:dyDescent="0.35">
      <c r="A12" s="33"/>
      <c r="B12" s="77"/>
      <c r="C12" s="78"/>
      <c r="D12" s="78"/>
      <c r="E12" s="78"/>
      <c r="F12" s="78"/>
      <c r="G12" s="78"/>
      <c r="H12" s="78"/>
      <c r="I12" s="79"/>
      <c r="J12" s="36">
        <f t="shared" si="1"/>
        <v>8</v>
      </c>
      <c r="K12" s="26" t="str">
        <v>Automated Incident Response &amp; Containment</v>
      </c>
      <c r="L12" s="27" t="str">
        <v>Process</v>
      </c>
      <c r="M12" s="47">
        <v>-200</v>
      </c>
    </row>
    <row r="13" spans="1:18" x14ac:dyDescent="0.35">
      <c r="A13" s="33"/>
      <c r="B13" s="77"/>
      <c r="C13" s="78"/>
      <c r="D13" s="78"/>
      <c r="E13" s="78"/>
      <c r="F13" s="78"/>
      <c r="G13" s="78"/>
      <c r="H13" s="78"/>
      <c r="I13" s="79"/>
      <c r="J13" s="36">
        <f t="shared" si="1"/>
        <v>9</v>
      </c>
      <c r="K13" s="26" t="str">
        <v>DevSecOps &amp; Supply Chain Security</v>
      </c>
      <c r="L13" s="27" t="str">
        <v>Process</v>
      </c>
      <c r="M13" s="47">
        <v>-200</v>
      </c>
    </row>
    <row r="14" spans="1:18" x14ac:dyDescent="0.35">
      <c r="A14" s="33"/>
      <c r="B14" s="77"/>
      <c r="C14" s="78"/>
      <c r="D14" s="78"/>
      <c r="E14" s="78"/>
      <c r="F14" s="78"/>
      <c r="G14" s="78"/>
      <c r="H14" s="78"/>
      <c r="I14" s="79"/>
      <c r="J14" s="36">
        <f t="shared" si="1"/>
        <v>10</v>
      </c>
      <c r="K14" s="26" t="str">
        <v>AI-assisted analysis &amp; threat hunting</v>
      </c>
      <c r="L14" s="27" t="str">
        <v>Technology / Platform</v>
      </c>
      <c r="M14" s="47">
        <v>-200</v>
      </c>
    </row>
    <row r="15" spans="1:18" x14ac:dyDescent="0.35">
      <c r="A15" s="33"/>
      <c r="B15" s="77"/>
      <c r="C15" s="78"/>
      <c r="D15" s="78"/>
      <c r="E15" s="78"/>
      <c r="F15" s="78"/>
      <c r="G15" s="78"/>
      <c r="H15" s="78"/>
      <c r="I15" s="79"/>
      <c r="J15" s="36">
        <f t="shared" si="1"/>
        <v>11</v>
      </c>
      <c r="K15" s="26" t="str">
        <v>AI integration program &amp; norms</v>
      </c>
      <c r="L15" s="27" t="str">
        <v>Ops Model &amp; Services</v>
      </c>
      <c r="M15" s="47">
        <v>-200</v>
      </c>
    </row>
    <row r="16" spans="1:18" x14ac:dyDescent="0.35">
      <c r="A16" s="33"/>
      <c r="B16" s="77"/>
      <c r="C16" s="78"/>
      <c r="D16" s="78"/>
      <c r="E16" s="78"/>
      <c r="F16" s="78"/>
      <c r="G16" s="78"/>
      <c r="H16" s="78"/>
      <c r="I16" s="79"/>
      <c r="J16" s="36">
        <f t="shared" si="1"/>
        <v>12</v>
      </c>
      <c r="K16" s="26" t="str">
        <v>Autonomous SOC operations planning</v>
      </c>
      <c r="L16" s="27" t="str">
        <v>Ops Model &amp; Services</v>
      </c>
      <c r="M16" s="47">
        <v>-200</v>
      </c>
    </row>
    <row r="17" spans="1:18" x14ac:dyDescent="0.35">
      <c r="A17" s="33"/>
      <c r="B17" s="77"/>
      <c r="C17" s="78"/>
      <c r="D17" s="78"/>
      <c r="E17" s="78"/>
      <c r="F17" s="78"/>
      <c r="G17" s="78"/>
      <c r="H17" s="78"/>
      <c r="I17" s="79"/>
      <c r="J17" s="36">
        <f t="shared" si="1"/>
        <v>13</v>
      </c>
      <c r="K17" s="26" t="str">
        <v>Business outcome metrics</v>
      </c>
      <c r="L17" s="27" t="str">
        <v>Metrics / Outcomes</v>
      </c>
      <c r="M17" s="47">
        <v>-200</v>
      </c>
    </row>
    <row r="18" spans="1:18" x14ac:dyDescent="0.35">
      <c r="A18" s="33"/>
      <c r="B18" s="77"/>
      <c r="C18" s="78"/>
      <c r="D18" s="78"/>
      <c r="E18" s="78"/>
      <c r="F18" s="78"/>
      <c r="G18" s="78"/>
      <c r="H18" s="78"/>
      <c r="I18" s="79"/>
      <c r="J18" s="36">
        <f t="shared" si="1"/>
        <v>14</v>
      </c>
      <c r="K18" s="26" t="str">
        <v>Knowledge capture</v>
      </c>
      <c r="L18" s="27" t="str">
        <v>Data / Telemetry &amp; TI</v>
      </c>
      <c r="M18" s="47">
        <v>-175</v>
      </c>
    </row>
    <row r="19" spans="1:18" x14ac:dyDescent="0.35">
      <c r="A19" s="33"/>
      <c r="B19" s="77"/>
      <c r="C19" s="78"/>
      <c r="D19" s="78"/>
      <c r="E19" s="78"/>
      <c r="F19" s="78"/>
      <c r="G19" s="78"/>
      <c r="H19" s="78"/>
      <c r="I19" s="79"/>
      <c r="J19" s="36">
        <f t="shared" si="1"/>
        <v>15</v>
      </c>
      <c r="K19" s="26" t="str">
        <v>Continuous learning from telemetry</v>
      </c>
      <c r="L19" s="27" t="str">
        <v>Data / Telemetry &amp; TI</v>
      </c>
      <c r="M19" s="47">
        <v>-175</v>
      </c>
    </row>
    <row r="20" spans="1:18" x14ac:dyDescent="0.35">
      <c r="A20" s="33"/>
      <c r="B20" s="77"/>
      <c r="C20" s="78"/>
      <c r="D20" s="78"/>
      <c r="E20" s="78"/>
      <c r="F20" s="78"/>
      <c r="G20" s="78"/>
      <c r="H20" s="78"/>
      <c r="I20" s="79"/>
      <c r="J20" s="36">
        <v>16</v>
      </c>
      <c r="K20" s="26" t="str">
        <v>Operational governance &amp; auditability</v>
      </c>
      <c r="L20" s="30" t="str">
        <v>Governance / Compliance</v>
      </c>
      <c r="M20" s="47">
        <v>-150</v>
      </c>
    </row>
    <row r="21" spans="1:18" x14ac:dyDescent="0.35">
      <c r="A21" s="33"/>
      <c r="B21" s="77"/>
      <c r="C21" s="78"/>
      <c r="D21" s="78"/>
      <c r="E21" s="78"/>
      <c r="F21" s="78"/>
      <c r="G21" s="78"/>
      <c r="H21" s="78"/>
      <c r="I21" s="79"/>
      <c r="J21" s="36">
        <f>J20+1</f>
        <v>17</v>
      </c>
      <c r="K21" s="28" t="str">
        <v>SOC service catalog</v>
      </c>
      <c r="L21" s="30" t="str">
        <v>Ops Model &amp; Services</v>
      </c>
      <c r="M21" s="47">
        <v>-150</v>
      </c>
    </row>
    <row r="22" spans="1:18" ht="17.5" customHeight="1" x14ac:dyDescent="0.35">
      <c r="A22" s="33"/>
      <c r="B22" s="77"/>
      <c r="C22" s="78"/>
      <c r="D22" s="78"/>
      <c r="E22" s="78"/>
      <c r="F22" s="78"/>
      <c r="G22" s="78"/>
      <c r="H22" s="78"/>
      <c r="I22" s="79"/>
      <c r="J22" s="36">
        <f t="shared" ref="J22:J37" si="2">J21+1</f>
        <v>18</v>
      </c>
      <c r="K22" s="28" t="str">
        <v>Coverage &amp; quality metrics</v>
      </c>
      <c r="L22" s="30" t="str">
        <v>Metrics / Outcomes</v>
      </c>
      <c r="M22" s="47">
        <v>-150</v>
      </c>
    </row>
    <row r="23" spans="1:18" x14ac:dyDescent="0.35">
      <c r="A23" s="33"/>
      <c r="B23" s="77"/>
      <c r="C23" s="78"/>
      <c r="D23" s="78"/>
      <c r="E23" s="78"/>
      <c r="F23" s="78"/>
      <c r="G23" s="78"/>
      <c r="H23" s="78"/>
      <c r="I23" s="79"/>
      <c r="J23" s="36">
        <f t="shared" si="2"/>
        <v>19</v>
      </c>
      <c r="K23" s="28" t="str">
        <v>Analyst performance metrics</v>
      </c>
      <c r="L23" s="30" t="str">
        <v>Metrics / Outcomes</v>
      </c>
      <c r="M23" s="47">
        <v>-150</v>
      </c>
    </row>
    <row r="24" spans="1:18" ht="13.5" customHeight="1" x14ac:dyDescent="0.35">
      <c r="A24" s="33"/>
      <c r="B24" s="77"/>
      <c r="C24" s="78"/>
      <c r="D24" s="78"/>
      <c r="E24" s="78"/>
      <c r="F24" s="78"/>
      <c r="G24" s="78"/>
      <c r="H24" s="78"/>
      <c r="I24" s="79"/>
      <c r="J24" s="36">
        <f t="shared" si="2"/>
        <v>20</v>
      </c>
      <c r="K24" s="28" t="str">
        <v>Normalization &amp; correlation</v>
      </c>
      <c r="L24" s="30" t="str">
        <v>Data / Telemetry &amp; TI</v>
      </c>
      <c r="M24" s="47">
        <v>-125</v>
      </c>
    </row>
    <row r="25" spans="1:18" ht="13.5" customHeight="1" thickBot="1" x14ac:dyDescent="0.4">
      <c r="A25" s="34"/>
      <c r="B25" s="3"/>
      <c r="C25" s="1"/>
      <c r="D25" s="1"/>
      <c r="E25" s="1"/>
      <c r="F25" s="1"/>
      <c r="G25" s="1"/>
      <c r="H25" s="1"/>
      <c r="I25" s="80"/>
      <c r="J25" s="36">
        <f t="shared" si="2"/>
        <v>21</v>
      </c>
      <c r="K25" s="28" t="str">
        <v>Multi-skilled SOC analysts</v>
      </c>
      <c r="L25" s="29" t="str">
        <v>People</v>
      </c>
      <c r="M25" s="48">
        <v>-100</v>
      </c>
    </row>
    <row r="26" spans="1:18" ht="13.5" customHeight="1" x14ac:dyDescent="0.35">
      <c r="A26" s="33"/>
      <c r="J26" s="36">
        <f t="shared" si="2"/>
        <v>22</v>
      </c>
      <c r="K26" s="28" t="str">
        <v>Proactive exposure &amp; posture management</v>
      </c>
      <c r="L26" s="30" t="str">
        <v>Process</v>
      </c>
      <c r="M26" s="47">
        <v>-100</v>
      </c>
      <c r="P26" s="2"/>
      <c r="Q26" s="2"/>
      <c r="R26" s="2"/>
    </row>
    <row r="27" spans="1:18" ht="13.5" customHeight="1" x14ac:dyDescent="0.35">
      <c r="A27" s="33"/>
      <c r="J27" s="36">
        <f t="shared" si="2"/>
        <v>23</v>
      </c>
      <c r="K27" s="28" t="str">
        <v>Unified SOC platform (XDR + SIEM)</v>
      </c>
      <c r="L27" s="30" t="str">
        <v>Technology / Platform</v>
      </c>
      <c r="M27" s="47">
        <v>-100</v>
      </c>
      <c r="N27" s="2"/>
      <c r="O27" s="2"/>
      <c r="P27" s="2"/>
      <c r="Q27" s="2"/>
      <c r="R27" s="2"/>
    </row>
    <row r="28" spans="1:18" ht="13.5" customHeight="1" x14ac:dyDescent="0.35">
      <c r="A28" s="33"/>
      <c r="J28" s="36">
        <f t="shared" si="2"/>
        <v>24</v>
      </c>
      <c r="K28" s="31" t="str">
        <v>Cloud Security Posture Management</v>
      </c>
      <c r="L28" s="27" t="str">
        <v>Technology / Platform</v>
      </c>
      <c r="M28" s="47">
        <v>-100</v>
      </c>
    </row>
    <row r="29" spans="1:18" ht="13.5" customHeight="1" x14ac:dyDescent="0.35">
      <c r="A29" s="33"/>
      <c r="J29" s="36">
        <f t="shared" si="2"/>
        <v>25</v>
      </c>
      <c r="K29" s="26" t="str">
        <v>Cyber governance &amp; compliance</v>
      </c>
      <c r="L29" s="27" t="str">
        <v>Governance / Compliance</v>
      </c>
      <c r="M29" s="47">
        <v>-100</v>
      </c>
    </row>
    <row r="30" spans="1:18" ht="13.5" customHeight="1" x14ac:dyDescent="0.35">
      <c r="A30" s="33"/>
      <c r="J30" s="36">
        <f t="shared" si="2"/>
        <v>26</v>
      </c>
      <c r="K30" s="26" t="str">
        <v>Efficiency metrics (MTTD/MTTR)</v>
      </c>
      <c r="L30" s="27" t="str">
        <v>Metrics / Outcomes</v>
      </c>
      <c r="M30" s="47">
        <v>-100</v>
      </c>
    </row>
    <row r="31" spans="1:18" ht="13.5" customHeight="1" x14ac:dyDescent="0.35">
      <c r="A31" s="33"/>
      <c r="J31" s="36">
        <f t="shared" si="2"/>
        <v>27</v>
      </c>
      <c r="K31" s="26" t="str">
        <v>End-to-end telemetry coverage</v>
      </c>
      <c r="L31" s="27" t="str">
        <v>Data / Telemetry &amp; TI</v>
      </c>
      <c r="M31" s="47">
        <v>-75</v>
      </c>
    </row>
    <row r="32" spans="1:18" ht="13.5" customHeight="1" x14ac:dyDescent="0.35">
      <c r="A32" s="33"/>
      <c r="J32" s="36">
        <f t="shared" si="2"/>
        <v>28</v>
      </c>
      <c r="K32" s="26" t="str">
        <v>Threat Intelligence &amp; Adversary Tracking</v>
      </c>
      <c r="L32" s="30" t="str">
        <v>Data / Telemetry &amp; TI</v>
      </c>
      <c r="M32" s="47">
        <v>-75</v>
      </c>
    </row>
    <row r="33" spans="1:13" ht="13.5" customHeight="1" x14ac:dyDescent="0.35">
      <c r="A33" s="33"/>
      <c r="J33" s="36">
        <f t="shared" si="2"/>
        <v>29</v>
      </c>
      <c r="K33" s="28" t="str">
        <v>Embedded security engineering</v>
      </c>
      <c r="L33" s="30" t="str">
        <v>People</v>
      </c>
      <c r="M33" s="47">
        <v>-50</v>
      </c>
    </row>
    <row r="34" spans="1:13" ht="13.5" customHeight="1" x14ac:dyDescent="0.35">
      <c r="A34" s="33"/>
      <c r="J34" s="36">
        <f t="shared" si="2"/>
        <v>30</v>
      </c>
      <c r="K34" s="28" t="str">
        <v>SOC operating model clarity</v>
      </c>
      <c r="L34" s="30" t="str">
        <v>Ops Model &amp; Services</v>
      </c>
      <c r="M34" s="47">
        <v>-50</v>
      </c>
    </row>
    <row r="35" spans="1:13" ht="13.5" customHeight="1" x14ac:dyDescent="0.35">
      <c r="A35" s="33"/>
      <c r="J35" s="61">
        <f t="shared" si="2"/>
        <v>31</v>
      </c>
      <c r="K35" s="28" t="str">
        <v>Standardized &amp; streamlined processes</v>
      </c>
      <c r="L35" s="30" t="str">
        <v>Process</v>
      </c>
      <c r="M35" s="90">
        <v>0</v>
      </c>
    </row>
    <row r="36" spans="1:13" ht="13.5" customHeight="1" x14ac:dyDescent="0.35">
      <c r="A36" s="33"/>
      <c r="J36" s="61">
        <f t="shared" si="2"/>
        <v>32</v>
      </c>
      <c r="K36" s="70" t="str">
        <v>Resilience &amp; recovery preparedness</v>
      </c>
      <c r="L36" s="59" t="str">
        <v>Ops Model &amp; Services</v>
      </c>
      <c r="M36" s="91">
        <v>0</v>
      </c>
    </row>
    <row r="37" spans="1:13" ht="13.5" customHeight="1" thickBot="1" x14ac:dyDescent="0.4">
      <c r="A37" s="81"/>
      <c r="B37" s="81"/>
      <c r="C37" s="81"/>
      <c r="D37" s="81"/>
      <c r="E37" s="81"/>
      <c r="F37" s="81"/>
      <c r="G37" s="81"/>
      <c r="H37" s="81"/>
      <c r="J37" s="62">
        <f t="shared" si="2"/>
        <v>33</v>
      </c>
      <c r="K37" s="71" t="str">
        <v>Identity Security &amp; Phishing Defense</v>
      </c>
      <c r="L37" s="60" t="str">
        <v>Technology / Platform</v>
      </c>
      <c r="M37" s="92">
        <v>50</v>
      </c>
    </row>
    <row r="38" spans="1:13" ht="15" thickTop="1" x14ac:dyDescent="0.35"/>
  </sheetData>
  <mergeCells count="4">
    <mergeCell ref="J2:L2"/>
    <mergeCell ref="J3:L3"/>
    <mergeCell ref="A2:B2"/>
    <mergeCell ref="A3:B3"/>
  </mergeCells>
  <conditionalFormatting sqref="C5:I5">
    <cfRule type="colorScale" priority="6">
      <colorScale>
        <cfvo type="min"/>
        <cfvo type="percentile" val="50"/>
        <cfvo type="max"/>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D9E2-6BDA-48A2-8C02-B679BDD62AE5}">
  <dimension ref="A1:O64"/>
  <sheetViews>
    <sheetView zoomScaleNormal="100" workbookViewId="0">
      <pane xSplit="1" ySplit="2" topLeftCell="B5" activePane="bottomRight" state="frozen"/>
      <selection pane="topRight" activeCell="B1" sqref="B1"/>
      <selection pane="bottomLeft" activeCell="A3" sqref="A3"/>
      <selection pane="bottomRight" activeCell="B14" sqref="B14"/>
    </sheetView>
  </sheetViews>
  <sheetFormatPr defaultRowHeight="13" x14ac:dyDescent="0.35"/>
  <cols>
    <col min="1" max="1" width="7" style="12" hidden="1" customWidth="1"/>
    <col min="2" max="2" width="14" style="7" customWidth="1"/>
    <col min="3" max="3" width="17.08984375" style="7" customWidth="1"/>
    <col min="4" max="5" width="32.453125" style="7" customWidth="1"/>
    <col min="6" max="6" width="13.1796875" style="12" customWidth="1"/>
    <col min="7" max="7" width="20.36328125" style="12" hidden="1" customWidth="1"/>
    <col min="8" max="8" width="12.36328125" style="12" hidden="1" customWidth="1"/>
    <col min="9" max="12" width="18.08984375" style="7" customWidth="1"/>
    <col min="13" max="13" width="24.54296875" style="7" hidden="1" customWidth="1"/>
    <col min="14" max="14" width="15.54296875" style="7" customWidth="1"/>
    <col min="15" max="15" width="99.453125" style="7" customWidth="1"/>
    <col min="16" max="16384" width="8.7265625" style="7"/>
  </cols>
  <sheetData>
    <row r="1" spans="1:15" ht="57" customHeight="1" x14ac:dyDescent="0.35">
      <c r="B1" s="89" t="s">
        <v>283</v>
      </c>
      <c r="C1" s="6"/>
      <c r="D1" s="6"/>
      <c r="E1" s="15" t="s">
        <v>291</v>
      </c>
      <c r="F1" s="14" t="s">
        <v>364</v>
      </c>
      <c r="G1" s="14"/>
      <c r="H1" s="14"/>
      <c r="I1" s="88" t="s">
        <v>328</v>
      </c>
      <c r="J1" s="8"/>
      <c r="K1" s="8"/>
      <c r="L1" s="9"/>
    </row>
    <row r="2" spans="1:15" ht="52" x14ac:dyDescent="0.3">
      <c r="A2" s="18" t="s">
        <v>327</v>
      </c>
      <c r="B2" s="19" t="s">
        <v>22</v>
      </c>
      <c r="C2" s="19" t="s">
        <v>0</v>
      </c>
      <c r="D2" s="19" t="s">
        <v>1</v>
      </c>
      <c r="E2" s="19" t="s">
        <v>290</v>
      </c>
      <c r="F2" s="20" t="s">
        <v>284</v>
      </c>
      <c r="G2" s="20" t="s">
        <v>325</v>
      </c>
      <c r="H2" s="20" t="s">
        <v>326</v>
      </c>
      <c r="I2" s="21" t="s">
        <v>17</v>
      </c>
      <c r="J2" s="22" t="s">
        <v>18</v>
      </c>
      <c r="K2" s="23" t="s">
        <v>19</v>
      </c>
      <c r="L2" s="24" t="s">
        <v>20</v>
      </c>
      <c r="M2" s="25" t="s">
        <v>26</v>
      </c>
      <c r="N2" s="25" t="s">
        <v>27</v>
      </c>
      <c r="O2" s="25" t="s">
        <v>28</v>
      </c>
    </row>
    <row r="3" spans="1:15" ht="65" x14ac:dyDescent="0.35">
      <c r="A3" s="12">
        <v>1</v>
      </c>
      <c r="B3" s="67" t="s">
        <v>2</v>
      </c>
      <c r="C3" s="67" t="s">
        <v>29</v>
      </c>
      <c r="D3" s="67" t="s">
        <v>30</v>
      </c>
      <c r="E3" s="68" t="s">
        <v>292</v>
      </c>
      <c r="F3" s="69">
        <v>150</v>
      </c>
      <c r="G3" s="69">
        <f>IFERROR(
  _xlfn.XLOOKUP(
    B3,
    Rollup!$C$2:$I$2,
    Rollup!$C$4:$I$4
  ),
  ""
)</f>
        <v>250</v>
      </c>
      <c r="H3" s="69">
        <f t="shared" ref="H3:H35" si="0">F3-G3</f>
        <v>-100</v>
      </c>
      <c r="I3" s="67" t="s">
        <v>31</v>
      </c>
      <c r="J3" s="67" t="s">
        <v>32</v>
      </c>
      <c r="K3" s="67" t="s">
        <v>33</v>
      </c>
      <c r="L3" s="67" t="s">
        <v>34</v>
      </c>
      <c r="M3" s="67" t="s">
        <v>35</v>
      </c>
      <c r="N3" s="67" t="s">
        <v>230</v>
      </c>
      <c r="O3" s="67" t="s">
        <v>36</v>
      </c>
    </row>
    <row r="4" spans="1:15" ht="78" x14ac:dyDescent="0.35">
      <c r="A4" s="12">
        <v>2</v>
      </c>
      <c r="B4" s="67" t="s">
        <v>2</v>
      </c>
      <c r="C4" s="67" t="s">
        <v>37</v>
      </c>
      <c r="D4" s="67" t="s">
        <v>38</v>
      </c>
      <c r="E4" s="68" t="s">
        <v>293</v>
      </c>
      <c r="F4" s="69">
        <v>200</v>
      </c>
      <c r="G4" s="69">
        <f>IFERROR(
  _xlfn.XLOOKUP(
    B4,
    Rollup!$C$2:$I$2,
    Rollup!$C$4:$I$4
  ),
  ""
)</f>
        <v>250</v>
      </c>
      <c r="H4" s="69">
        <f t="shared" si="0"/>
        <v>-50</v>
      </c>
      <c r="I4" s="67" t="s">
        <v>39</v>
      </c>
      <c r="J4" s="67" t="s">
        <v>40</v>
      </c>
      <c r="K4" s="67" t="s">
        <v>41</v>
      </c>
      <c r="L4" s="67" t="s">
        <v>42</v>
      </c>
      <c r="M4" s="67" t="s">
        <v>35</v>
      </c>
      <c r="N4" s="67" t="s">
        <v>231</v>
      </c>
      <c r="O4" s="67" t="s">
        <v>215</v>
      </c>
    </row>
    <row r="5" spans="1:15" ht="91" x14ac:dyDescent="0.35">
      <c r="A5" s="12">
        <v>3</v>
      </c>
      <c r="B5" s="67" t="s">
        <v>2</v>
      </c>
      <c r="C5" s="67" t="s">
        <v>14</v>
      </c>
      <c r="D5" s="67" t="s">
        <v>43</v>
      </c>
      <c r="E5" s="68" t="s">
        <v>294</v>
      </c>
      <c r="F5" s="69">
        <v>50</v>
      </c>
      <c r="G5" s="69">
        <f>IFERROR(
  _xlfn.XLOOKUP(
    B5,
    Rollup!$C$2:$I$2,
    Rollup!$C$4:$I$4
  ),
  ""
)</f>
        <v>250</v>
      </c>
      <c r="H5" s="69">
        <f t="shared" si="0"/>
        <v>-200</v>
      </c>
      <c r="I5" s="67" t="s">
        <v>44</v>
      </c>
      <c r="J5" s="67" t="s">
        <v>45</v>
      </c>
      <c r="K5" s="67" t="s">
        <v>46</v>
      </c>
      <c r="L5" s="67" t="s">
        <v>47</v>
      </c>
      <c r="M5" s="67" t="s">
        <v>232</v>
      </c>
      <c r="N5" s="67" t="s">
        <v>233</v>
      </c>
      <c r="O5" s="67" t="s">
        <v>48</v>
      </c>
    </row>
    <row r="6" spans="1:15" ht="78" x14ac:dyDescent="0.35">
      <c r="A6" s="12">
        <v>4</v>
      </c>
      <c r="B6" s="67" t="s">
        <v>2</v>
      </c>
      <c r="C6" s="67" t="s">
        <v>49</v>
      </c>
      <c r="D6" s="67" t="s">
        <v>50</v>
      </c>
      <c r="E6" s="68" t="s">
        <v>295</v>
      </c>
      <c r="F6" s="69">
        <v>50</v>
      </c>
      <c r="G6" s="69">
        <f>IFERROR(
  _xlfn.XLOOKUP(
    B6,
    Rollup!$C$2:$I$2,
    Rollup!$C$4:$I$4
  ),
  ""
)</f>
        <v>250</v>
      </c>
      <c r="H6" s="69">
        <f t="shared" si="0"/>
        <v>-200</v>
      </c>
      <c r="I6" s="67" t="s">
        <v>51</v>
      </c>
      <c r="J6" s="67" t="s">
        <v>52</v>
      </c>
      <c r="K6" s="67" t="s">
        <v>53</v>
      </c>
      <c r="L6" s="67" t="s">
        <v>54</v>
      </c>
      <c r="M6" s="67" t="s">
        <v>35</v>
      </c>
      <c r="N6" s="67" t="s">
        <v>234</v>
      </c>
      <c r="O6" s="67" t="s">
        <v>216</v>
      </c>
    </row>
    <row r="7" spans="1:15" ht="104" x14ac:dyDescent="0.35">
      <c r="A7" s="12">
        <v>5</v>
      </c>
      <c r="B7" s="67" t="s">
        <v>3</v>
      </c>
      <c r="C7" s="67" t="s">
        <v>55</v>
      </c>
      <c r="D7" s="67" t="s">
        <v>56</v>
      </c>
      <c r="E7" s="68" t="s">
        <v>296</v>
      </c>
      <c r="F7" s="69">
        <v>250</v>
      </c>
      <c r="G7" s="69">
        <f>IFERROR(
  _xlfn.XLOOKUP(
    B7,
    Rollup!$C$2:$I$2,
    Rollup!$C$4:$I$4
  ),
  ""
)</f>
        <v>250</v>
      </c>
      <c r="H7" s="69">
        <f t="shared" si="0"/>
        <v>0</v>
      </c>
      <c r="I7" s="67" t="s">
        <v>57</v>
      </c>
      <c r="J7" s="67" t="s">
        <v>58</v>
      </c>
      <c r="K7" s="67" t="s">
        <v>59</v>
      </c>
      <c r="L7" s="67" t="s">
        <v>60</v>
      </c>
      <c r="M7" s="67" t="s">
        <v>35</v>
      </c>
      <c r="N7" s="67" t="s">
        <v>235</v>
      </c>
      <c r="O7" s="67" t="s">
        <v>236</v>
      </c>
    </row>
    <row r="8" spans="1:15" ht="104" x14ac:dyDescent="0.35">
      <c r="A8" s="12">
        <v>6</v>
      </c>
      <c r="B8" s="67" t="s">
        <v>3</v>
      </c>
      <c r="C8" s="67" t="s">
        <v>4</v>
      </c>
      <c r="D8" s="67" t="s">
        <v>61</v>
      </c>
      <c r="E8" s="68" t="s">
        <v>297</v>
      </c>
      <c r="F8" s="69">
        <v>150</v>
      </c>
      <c r="G8" s="69">
        <f>IFERROR(
  _xlfn.XLOOKUP(
    B8,
    Rollup!$C$2:$I$2,
    Rollup!$C$4:$I$4
  ),
  ""
)</f>
        <v>250</v>
      </c>
      <c r="H8" s="69">
        <f t="shared" si="0"/>
        <v>-100</v>
      </c>
      <c r="I8" s="67" t="s">
        <v>62</v>
      </c>
      <c r="J8" s="67" t="s">
        <v>63</v>
      </c>
      <c r="K8" s="67" t="s">
        <v>64</v>
      </c>
      <c r="L8" s="67" t="s">
        <v>65</v>
      </c>
      <c r="M8" s="67" t="s">
        <v>66</v>
      </c>
      <c r="N8" s="67" t="s">
        <v>237</v>
      </c>
      <c r="O8" s="67" t="s">
        <v>67</v>
      </c>
    </row>
    <row r="9" spans="1:15" ht="104" x14ac:dyDescent="0.35">
      <c r="A9" s="12">
        <v>7</v>
      </c>
      <c r="B9" s="67" t="s">
        <v>3</v>
      </c>
      <c r="C9" s="67" t="s">
        <v>68</v>
      </c>
      <c r="D9" s="67" t="s">
        <v>69</v>
      </c>
      <c r="E9" s="68" t="s">
        <v>298</v>
      </c>
      <c r="F9" s="69">
        <v>50</v>
      </c>
      <c r="G9" s="69">
        <f>IFERROR(
  _xlfn.XLOOKUP(
    B9,
    Rollup!$C$2:$I$2,
    Rollup!$C$4:$I$4
  ),
  ""
)</f>
        <v>250</v>
      </c>
      <c r="H9" s="69">
        <f t="shared" si="0"/>
        <v>-200</v>
      </c>
      <c r="I9" s="67" t="s">
        <v>70</v>
      </c>
      <c r="J9" s="67" t="s">
        <v>71</v>
      </c>
      <c r="K9" s="67" t="s">
        <v>72</v>
      </c>
      <c r="L9" s="67" t="s">
        <v>73</v>
      </c>
      <c r="M9" s="67" t="s">
        <v>35</v>
      </c>
      <c r="N9" s="67" t="s">
        <v>238</v>
      </c>
      <c r="O9" s="67" t="s">
        <v>217</v>
      </c>
    </row>
    <row r="10" spans="1:15" ht="104" x14ac:dyDescent="0.35">
      <c r="A10" s="66">
        <v>8</v>
      </c>
      <c r="B10" s="67" t="s">
        <v>3</v>
      </c>
      <c r="C10" s="67" t="s">
        <v>74</v>
      </c>
      <c r="D10" s="67" t="s">
        <v>75</v>
      </c>
      <c r="E10" s="68" t="s">
        <v>299</v>
      </c>
      <c r="F10" s="69">
        <v>50</v>
      </c>
      <c r="G10" s="69">
        <f>IFERROR(
  _xlfn.XLOOKUP(
    B10,
    Rollup!$C$2:$I$2,
    Rollup!$C$4:$I$4
  ),
  ""
)</f>
        <v>250</v>
      </c>
      <c r="H10" s="69">
        <f t="shared" si="0"/>
        <v>-200</v>
      </c>
      <c r="I10" s="67" t="s">
        <v>76</v>
      </c>
      <c r="J10" s="67" t="s">
        <v>77</v>
      </c>
      <c r="K10" s="67" t="s">
        <v>78</v>
      </c>
      <c r="L10" s="67" t="s">
        <v>79</v>
      </c>
      <c r="M10" s="67" t="s">
        <v>35</v>
      </c>
      <c r="N10" s="67" t="s">
        <v>239</v>
      </c>
      <c r="O10" s="67" t="s">
        <v>240</v>
      </c>
    </row>
    <row r="11" spans="1:15" ht="169" x14ac:dyDescent="0.35">
      <c r="A11" s="63">
        <v>32</v>
      </c>
      <c r="B11" s="64" t="s">
        <v>3</v>
      </c>
      <c r="C11" s="64" t="s">
        <v>344</v>
      </c>
      <c r="D11" s="65" t="s">
        <v>365</v>
      </c>
      <c r="E11" s="87" t="s">
        <v>345</v>
      </c>
      <c r="F11" s="69">
        <v>50</v>
      </c>
      <c r="G11" s="69">
        <f>IFERROR(
  _xlfn.XLOOKUP(
    B11,
    Rollup!$C$2:$I$2,
    Rollup!$C$4:$I$4
  ),
  ""
)</f>
        <v>250</v>
      </c>
      <c r="H11" s="69">
        <f t="shared" ref="H11" si="1">F11-G11</f>
        <v>-200</v>
      </c>
      <c r="I11" s="67" t="s">
        <v>346</v>
      </c>
      <c r="J11" s="67" t="s">
        <v>347</v>
      </c>
      <c r="K11" s="67" t="s">
        <v>348</v>
      </c>
      <c r="L11" s="67" t="s">
        <v>349</v>
      </c>
      <c r="M11" s="67"/>
      <c r="N11" s="67" t="s">
        <v>350</v>
      </c>
      <c r="O11" s="67" t="s">
        <v>351</v>
      </c>
    </row>
    <row r="12" spans="1:15" ht="234" x14ac:dyDescent="0.35">
      <c r="A12" s="63">
        <v>33</v>
      </c>
      <c r="B12" s="64" t="s">
        <v>3</v>
      </c>
      <c r="C12" s="64" t="s">
        <v>352</v>
      </c>
      <c r="D12" s="65" t="s">
        <v>353</v>
      </c>
      <c r="E12" s="87" t="s">
        <v>354</v>
      </c>
      <c r="F12" s="69">
        <v>50</v>
      </c>
      <c r="G12" s="69">
        <f>IFERROR(
  _xlfn.XLOOKUP(
    B12,
    Rollup!$C$2:$I$2,
    Rollup!$C$4:$I$4
  ),
  ""
)</f>
        <v>250</v>
      </c>
      <c r="H12" s="69">
        <f t="shared" ref="H12" si="2">F12-G12</f>
        <v>-200</v>
      </c>
      <c r="I12" s="67" t="s">
        <v>355</v>
      </c>
      <c r="J12" s="67" t="s">
        <v>356</v>
      </c>
      <c r="K12" s="67" t="s">
        <v>357</v>
      </c>
      <c r="L12" s="67" t="s">
        <v>358</v>
      </c>
      <c r="M12" s="67"/>
      <c r="N12" s="67" t="s">
        <v>359</v>
      </c>
      <c r="O12" s="67" t="s">
        <v>360</v>
      </c>
    </row>
    <row r="13" spans="1:15" ht="104" x14ac:dyDescent="0.35">
      <c r="A13" s="12">
        <v>9</v>
      </c>
      <c r="B13" s="67" t="s">
        <v>5</v>
      </c>
      <c r="C13" s="67" t="s">
        <v>80</v>
      </c>
      <c r="D13" s="67" t="s">
        <v>81</v>
      </c>
      <c r="E13" s="68" t="s">
        <v>300</v>
      </c>
      <c r="F13" s="69">
        <v>150</v>
      </c>
      <c r="G13" s="69">
        <f>IFERROR(
  _xlfn.XLOOKUP(
    B13,
    Rollup!$C$2:$I$2,
    Rollup!$C$4:$I$4
  ),
  ""
)</f>
        <v>250</v>
      </c>
      <c r="H13" s="69">
        <f t="shared" si="0"/>
        <v>-100</v>
      </c>
      <c r="I13" s="67" t="s">
        <v>82</v>
      </c>
      <c r="J13" s="67" t="s">
        <v>83</v>
      </c>
      <c r="K13" s="67" t="s">
        <v>84</v>
      </c>
      <c r="L13" s="67" t="s">
        <v>85</v>
      </c>
      <c r="M13" s="67" t="s">
        <v>35</v>
      </c>
      <c r="N13" s="67" t="s">
        <v>241</v>
      </c>
      <c r="O13" s="67" t="s">
        <v>86</v>
      </c>
    </row>
    <row r="14" spans="1:15" ht="143" x14ac:dyDescent="0.35">
      <c r="A14" s="12">
        <v>10</v>
      </c>
      <c r="B14" s="67" t="s">
        <v>5</v>
      </c>
      <c r="C14" s="67" t="s">
        <v>25</v>
      </c>
      <c r="D14" s="72" t="s">
        <v>338</v>
      </c>
      <c r="E14" s="68" t="s">
        <v>301</v>
      </c>
      <c r="F14" s="69">
        <v>150</v>
      </c>
      <c r="G14" s="69">
        <f>IFERROR(
  _xlfn.XLOOKUP(
    B14,
    Rollup!$C$2:$I$2,
    Rollup!$C$4:$I$4
  ),
  ""
)</f>
        <v>250</v>
      </c>
      <c r="H14" s="69">
        <f t="shared" si="0"/>
        <v>-100</v>
      </c>
      <c r="I14" s="67" t="s">
        <v>87</v>
      </c>
      <c r="J14" s="67" t="s">
        <v>88</v>
      </c>
      <c r="K14" s="67" t="s">
        <v>89</v>
      </c>
      <c r="L14" s="67" t="s">
        <v>90</v>
      </c>
      <c r="M14" s="67" t="s">
        <v>91</v>
      </c>
      <c r="N14" s="67" t="s">
        <v>242</v>
      </c>
      <c r="O14" s="67" t="s">
        <v>218</v>
      </c>
    </row>
    <row r="15" spans="1:15" ht="117" x14ac:dyDescent="0.35">
      <c r="A15" s="12">
        <v>11</v>
      </c>
      <c r="B15" s="67" t="s">
        <v>5</v>
      </c>
      <c r="C15" s="67" t="s">
        <v>24</v>
      </c>
      <c r="D15" s="72" t="s">
        <v>337</v>
      </c>
      <c r="E15" s="68" t="s">
        <v>302</v>
      </c>
      <c r="F15" s="69">
        <v>300</v>
      </c>
      <c r="G15" s="69">
        <f>IFERROR(
  _xlfn.XLOOKUP(
    B15,
    Rollup!$C$2:$I$2,
    Rollup!$C$4:$I$4
  ),
  ""
)</f>
        <v>250</v>
      </c>
      <c r="H15" s="69">
        <f t="shared" si="0"/>
        <v>50</v>
      </c>
      <c r="I15" s="67" t="s">
        <v>92</v>
      </c>
      <c r="J15" s="67" t="s">
        <v>93</v>
      </c>
      <c r="K15" s="67" t="s">
        <v>94</v>
      </c>
      <c r="L15" s="67" t="s">
        <v>95</v>
      </c>
      <c r="M15" s="67" t="s">
        <v>96</v>
      </c>
      <c r="N15" s="67" t="s">
        <v>243</v>
      </c>
      <c r="O15" s="67" t="s">
        <v>219</v>
      </c>
    </row>
    <row r="16" spans="1:15" ht="156" x14ac:dyDescent="0.35">
      <c r="A16" s="12">
        <v>12</v>
      </c>
      <c r="B16" s="67" t="s">
        <v>5</v>
      </c>
      <c r="C16" s="67" t="s">
        <v>97</v>
      </c>
      <c r="D16" s="72" t="s">
        <v>339</v>
      </c>
      <c r="E16" s="68" t="s">
        <v>303</v>
      </c>
      <c r="F16" s="69">
        <v>50</v>
      </c>
      <c r="G16" s="69">
        <f>IFERROR(
  _xlfn.XLOOKUP(
    B16,
    Rollup!$C$2:$I$2,
    Rollup!$C$4:$I$4
  ),
  ""
)</f>
        <v>250</v>
      </c>
      <c r="H16" s="69">
        <f t="shared" si="0"/>
        <v>-200</v>
      </c>
      <c r="I16" s="67" t="s">
        <v>98</v>
      </c>
      <c r="J16" s="67" t="s">
        <v>99</v>
      </c>
      <c r="K16" s="67" t="s">
        <v>100</v>
      </c>
      <c r="L16" s="67" t="s">
        <v>101</v>
      </c>
      <c r="M16" s="67" t="s">
        <v>102</v>
      </c>
      <c r="N16" s="67" t="s">
        <v>244</v>
      </c>
      <c r="O16" s="67" t="s">
        <v>103</v>
      </c>
    </row>
    <row r="17" spans="1:15" ht="91" x14ac:dyDescent="0.35">
      <c r="A17" s="12">
        <v>13</v>
      </c>
      <c r="B17" s="67" t="s">
        <v>6</v>
      </c>
      <c r="C17" s="67" t="s">
        <v>7</v>
      </c>
      <c r="D17" s="67" t="s">
        <v>104</v>
      </c>
      <c r="E17" s="68" t="s">
        <v>304</v>
      </c>
      <c r="F17" s="69">
        <v>200</v>
      </c>
      <c r="G17" s="69">
        <f>IFERROR(
  _xlfn.XLOOKUP(
    B17,
    Rollup!$C$2:$I$2,
    Rollup!$C$4:$I$4
  ),
  ""
)</f>
        <v>275</v>
      </c>
      <c r="H17" s="69">
        <f t="shared" si="0"/>
        <v>-75</v>
      </c>
      <c r="I17" s="67" t="s">
        <v>105</v>
      </c>
      <c r="J17" s="67" t="s">
        <v>106</v>
      </c>
      <c r="K17" s="67" t="s">
        <v>107</v>
      </c>
      <c r="L17" s="67" t="s">
        <v>108</v>
      </c>
      <c r="M17" s="67" t="s">
        <v>35</v>
      </c>
      <c r="N17" s="67" t="s">
        <v>245</v>
      </c>
      <c r="O17" s="67" t="s">
        <v>220</v>
      </c>
    </row>
    <row r="18" spans="1:15" ht="91" x14ac:dyDescent="0.35">
      <c r="A18" s="12">
        <v>14</v>
      </c>
      <c r="B18" s="67" t="s">
        <v>6</v>
      </c>
      <c r="C18" s="67" t="s">
        <v>8</v>
      </c>
      <c r="D18" s="67" t="s">
        <v>109</v>
      </c>
      <c r="E18" s="68" t="s">
        <v>305</v>
      </c>
      <c r="F18" s="69">
        <v>150</v>
      </c>
      <c r="G18" s="69">
        <f>IFERROR(
  _xlfn.XLOOKUP(
    B18,
    Rollup!$C$2:$I$2,
    Rollup!$C$4:$I$4
  ),
  ""
)</f>
        <v>275</v>
      </c>
      <c r="H18" s="69">
        <f t="shared" si="0"/>
        <v>-125</v>
      </c>
      <c r="I18" s="67" t="s">
        <v>110</v>
      </c>
      <c r="J18" s="67" t="s">
        <v>111</v>
      </c>
      <c r="K18" s="67" t="s">
        <v>112</v>
      </c>
      <c r="L18" s="67" t="s">
        <v>113</v>
      </c>
      <c r="M18" s="67" t="s">
        <v>35</v>
      </c>
      <c r="N18" s="67" t="s">
        <v>246</v>
      </c>
      <c r="O18" s="67" t="s">
        <v>114</v>
      </c>
    </row>
    <row r="19" spans="1:15" ht="130" x14ac:dyDescent="0.35">
      <c r="A19" s="12">
        <v>15</v>
      </c>
      <c r="B19" s="67" t="s">
        <v>6</v>
      </c>
      <c r="C19" s="67" t="s">
        <v>23</v>
      </c>
      <c r="D19" s="72" t="s">
        <v>336</v>
      </c>
      <c r="E19" s="68" t="s">
        <v>306</v>
      </c>
      <c r="F19" s="69">
        <v>200</v>
      </c>
      <c r="G19" s="69">
        <f>IFERROR(
  _xlfn.XLOOKUP(
    B19,
    Rollup!$C$2:$I$2,
    Rollup!$C$4:$I$4
  ),
  ""
)</f>
        <v>275</v>
      </c>
      <c r="H19" s="69">
        <f t="shared" si="0"/>
        <v>-75</v>
      </c>
      <c r="I19" s="67" t="s">
        <v>115</v>
      </c>
      <c r="J19" s="67" t="s">
        <v>116</v>
      </c>
      <c r="K19" s="67" t="s">
        <v>117</v>
      </c>
      <c r="L19" s="67" t="s">
        <v>118</v>
      </c>
      <c r="M19" s="67" t="s">
        <v>119</v>
      </c>
      <c r="N19" s="67" t="s">
        <v>247</v>
      </c>
      <c r="O19" s="67" t="s">
        <v>248</v>
      </c>
    </row>
    <row r="20" spans="1:15" ht="104" x14ac:dyDescent="0.35">
      <c r="A20" s="12">
        <v>16</v>
      </c>
      <c r="B20" s="67" t="s">
        <v>6</v>
      </c>
      <c r="C20" s="67" t="s">
        <v>15</v>
      </c>
      <c r="D20" s="67" t="s">
        <v>120</v>
      </c>
      <c r="E20" s="68" t="s">
        <v>307</v>
      </c>
      <c r="F20" s="69">
        <v>100</v>
      </c>
      <c r="G20" s="69">
        <f>IFERROR(
  _xlfn.XLOOKUP(
    B20,
    Rollup!$C$2:$I$2,
    Rollup!$C$4:$I$4
  ),
  ""
)</f>
        <v>275</v>
      </c>
      <c r="H20" s="69">
        <f t="shared" si="0"/>
        <v>-175</v>
      </c>
      <c r="I20" s="67" t="s">
        <v>121</v>
      </c>
      <c r="J20" s="67" t="s">
        <v>122</v>
      </c>
      <c r="K20" s="67" t="s">
        <v>123</v>
      </c>
      <c r="L20" s="67" t="s">
        <v>124</v>
      </c>
      <c r="M20" s="67" t="s">
        <v>35</v>
      </c>
      <c r="N20" s="67" t="s">
        <v>249</v>
      </c>
      <c r="O20" s="67" t="s">
        <v>221</v>
      </c>
    </row>
    <row r="21" spans="1:15" ht="104" x14ac:dyDescent="0.35">
      <c r="A21" s="12">
        <v>17</v>
      </c>
      <c r="B21" s="67" t="s">
        <v>6</v>
      </c>
      <c r="C21" s="67" t="s">
        <v>16</v>
      </c>
      <c r="D21" s="67" t="s">
        <v>125</v>
      </c>
      <c r="E21" s="68" t="s">
        <v>308</v>
      </c>
      <c r="F21" s="69">
        <v>100</v>
      </c>
      <c r="G21" s="69">
        <f>IFERROR(
  _xlfn.XLOOKUP(
    B21,
    Rollup!$C$2:$I$2,
    Rollup!$C$4:$I$4
  ),
  ""
)</f>
        <v>275</v>
      </c>
      <c r="H21" s="69">
        <f t="shared" si="0"/>
        <v>-175</v>
      </c>
      <c r="I21" s="67" t="s">
        <v>126</v>
      </c>
      <c r="J21" s="67" t="s">
        <v>127</v>
      </c>
      <c r="K21" s="67" t="s">
        <v>128</v>
      </c>
      <c r="L21" s="67" t="s">
        <v>129</v>
      </c>
      <c r="M21" s="67" t="s">
        <v>35</v>
      </c>
      <c r="N21" s="67" t="s">
        <v>250</v>
      </c>
      <c r="O21" s="67" t="s">
        <v>222</v>
      </c>
    </row>
    <row r="22" spans="1:15" ht="221" x14ac:dyDescent="0.35">
      <c r="A22" s="12">
        <v>18</v>
      </c>
      <c r="B22" s="67" t="s">
        <v>9</v>
      </c>
      <c r="C22" s="67" t="s">
        <v>130</v>
      </c>
      <c r="D22" s="72" t="s">
        <v>343</v>
      </c>
      <c r="E22" s="68" t="s">
        <v>309</v>
      </c>
      <c r="F22" s="69">
        <v>200</v>
      </c>
      <c r="G22" s="69">
        <f>IFERROR(
  _xlfn.XLOOKUP(
    B22,
    Rollup!$C$2:$I$2,
    Rollup!$C$4:$I$4
  ),
  ""
)</f>
        <v>300</v>
      </c>
      <c r="H22" s="69">
        <f t="shared" si="0"/>
        <v>-100</v>
      </c>
      <c r="I22" s="67" t="s">
        <v>131</v>
      </c>
      <c r="J22" s="67" t="s">
        <v>132</v>
      </c>
      <c r="K22" s="67" t="s">
        <v>133</v>
      </c>
      <c r="L22" s="67" t="s">
        <v>134</v>
      </c>
      <c r="M22" s="67" t="s">
        <v>135</v>
      </c>
      <c r="N22" s="67" t="s">
        <v>251</v>
      </c>
      <c r="O22" s="67" t="s">
        <v>136</v>
      </c>
    </row>
    <row r="23" spans="1:15" ht="117" x14ac:dyDescent="0.35">
      <c r="A23" s="12">
        <v>19</v>
      </c>
      <c r="B23" s="67" t="s">
        <v>9</v>
      </c>
      <c r="C23" s="67" t="s">
        <v>137</v>
      </c>
      <c r="D23" s="67" t="s">
        <v>138</v>
      </c>
      <c r="E23" s="68" t="s">
        <v>310</v>
      </c>
      <c r="F23" s="69">
        <v>150</v>
      </c>
      <c r="G23" s="69">
        <f>IFERROR(
  _xlfn.XLOOKUP(
    B23,
    Rollup!$C$2:$I$2,
    Rollup!$C$4:$I$4
  ),
  ""
)</f>
        <v>300</v>
      </c>
      <c r="H23" s="69">
        <f t="shared" si="0"/>
        <v>-150</v>
      </c>
      <c r="I23" s="67" t="s">
        <v>139</v>
      </c>
      <c r="J23" s="67" t="s">
        <v>140</v>
      </c>
      <c r="K23" s="67" t="s">
        <v>141</v>
      </c>
      <c r="L23" s="67" t="s">
        <v>142</v>
      </c>
      <c r="M23" s="67" t="s">
        <v>35</v>
      </c>
      <c r="N23" s="67" t="s">
        <v>252</v>
      </c>
      <c r="O23" s="67" t="s">
        <v>223</v>
      </c>
    </row>
    <row r="24" spans="1:15" ht="130" x14ac:dyDescent="0.35">
      <c r="A24" s="12">
        <v>20</v>
      </c>
      <c r="B24" s="67" t="s">
        <v>9</v>
      </c>
      <c r="C24" s="67" t="s">
        <v>143</v>
      </c>
      <c r="D24" s="67" t="s">
        <v>144</v>
      </c>
      <c r="E24" s="68" t="s">
        <v>311</v>
      </c>
      <c r="F24" s="69">
        <v>50</v>
      </c>
      <c r="G24" s="69">
        <f>IFERROR(
  _xlfn.XLOOKUP(
    B24,
    Rollup!$C$2:$I$2,
    Rollup!$C$4:$I$4
  ),
  ""
)</f>
        <v>300</v>
      </c>
      <c r="H24" s="69">
        <f t="shared" si="0"/>
        <v>-250</v>
      </c>
      <c r="I24" s="67" t="s">
        <v>145</v>
      </c>
      <c r="J24" s="67" t="s">
        <v>146</v>
      </c>
      <c r="K24" s="67" t="s">
        <v>147</v>
      </c>
      <c r="L24" s="67" t="s">
        <v>148</v>
      </c>
      <c r="M24" s="67" t="s">
        <v>35</v>
      </c>
      <c r="N24" s="67" t="s">
        <v>253</v>
      </c>
      <c r="O24" s="67" t="s">
        <v>149</v>
      </c>
    </row>
    <row r="25" spans="1:15" ht="169" x14ac:dyDescent="0.35">
      <c r="A25" s="12">
        <v>21</v>
      </c>
      <c r="B25" s="67" t="s">
        <v>9</v>
      </c>
      <c r="C25" s="67" t="s">
        <v>150</v>
      </c>
      <c r="D25" s="72" t="s">
        <v>341</v>
      </c>
      <c r="E25" s="68" t="s">
        <v>312</v>
      </c>
      <c r="F25" s="69">
        <v>50</v>
      </c>
      <c r="G25" s="69">
        <f>IFERROR(
  _xlfn.XLOOKUP(
    B25,
    Rollup!$C$2:$I$2,
    Rollup!$C$4:$I$4
  ),
  ""
)</f>
        <v>300</v>
      </c>
      <c r="H25" s="69">
        <f t="shared" si="0"/>
        <v>-250</v>
      </c>
      <c r="I25" s="67" t="s">
        <v>151</v>
      </c>
      <c r="J25" s="67" t="s">
        <v>152</v>
      </c>
      <c r="K25" s="67" t="s">
        <v>153</v>
      </c>
      <c r="L25" s="67" t="s">
        <v>154</v>
      </c>
      <c r="M25" s="67" t="s">
        <v>342</v>
      </c>
      <c r="N25" s="67" t="s">
        <v>254</v>
      </c>
      <c r="O25" s="67" t="s">
        <v>255</v>
      </c>
    </row>
    <row r="26" spans="1:15" ht="169" x14ac:dyDescent="0.35">
      <c r="A26" s="12">
        <v>22</v>
      </c>
      <c r="B26" s="67" t="s">
        <v>10</v>
      </c>
      <c r="C26" s="67" t="s">
        <v>155</v>
      </c>
      <c r="D26" s="72" t="s">
        <v>363</v>
      </c>
      <c r="E26" s="68" t="s">
        <v>313</v>
      </c>
      <c r="F26" s="69">
        <v>250</v>
      </c>
      <c r="G26" s="69">
        <f>IFERROR(
  _xlfn.XLOOKUP(
    B26,
    Rollup!$C$2:$I$2,
    Rollup!$C$4:$I$4
  ),
  ""
)</f>
        <v>250</v>
      </c>
      <c r="H26" s="69">
        <f t="shared" si="0"/>
        <v>0</v>
      </c>
      <c r="I26" s="67" t="s">
        <v>156</v>
      </c>
      <c r="J26" s="67" t="s">
        <v>157</v>
      </c>
      <c r="K26" s="67" t="s">
        <v>158</v>
      </c>
      <c r="L26" s="67" t="s">
        <v>159</v>
      </c>
      <c r="M26" s="67" t="s">
        <v>160</v>
      </c>
      <c r="N26" s="67" t="s">
        <v>256</v>
      </c>
      <c r="O26" s="67" t="s">
        <v>224</v>
      </c>
    </row>
    <row r="27" spans="1:15" ht="117" x14ac:dyDescent="0.35">
      <c r="A27" s="12">
        <v>23</v>
      </c>
      <c r="B27" s="67" t="s">
        <v>10</v>
      </c>
      <c r="C27" s="67" t="s">
        <v>11</v>
      </c>
      <c r="D27" s="67" t="s">
        <v>161</v>
      </c>
      <c r="E27" s="68" t="s">
        <v>314</v>
      </c>
      <c r="F27" s="69">
        <v>100</v>
      </c>
      <c r="G27" s="69">
        <f>IFERROR(
  _xlfn.XLOOKUP(
    B27,
    Rollup!$C$2:$I$2,
    Rollup!$C$4:$I$4
  ),
  ""
)</f>
        <v>250</v>
      </c>
      <c r="H27" s="69">
        <f t="shared" si="0"/>
        <v>-150</v>
      </c>
      <c r="I27" s="67" t="s">
        <v>162</v>
      </c>
      <c r="J27" s="67" t="s">
        <v>163</v>
      </c>
      <c r="K27" s="67" t="s">
        <v>164</v>
      </c>
      <c r="L27" s="67" t="s">
        <v>165</v>
      </c>
      <c r="M27" s="67" t="s">
        <v>35</v>
      </c>
      <c r="N27" s="67" t="s">
        <v>257</v>
      </c>
      <c r="O27" s="67" t="s">
        <v>166</v>
      </c>
    </row>
    <row r="28" spans="1:15" ht="104" x14ac:dyDescent="0.35">
      <c r="A28" s="12">
        <v>24</v>
      </c>
      <c r="B28" s="67" t="s">
        <v>10</v>
      </c>
      <c r="C28" s="67" t="s">
        <v>167</v>
      </c>
      <c r="D28" s="67" t="s">
        <v>168</v>
      </c>
      <c r="E28" s="68" t="s">
        <v>315</v>
      </c>
      <c r="F28" s="69">
        <v>200</v>
      </c>
      <c r="G28" s="69">
        <f>IFERROR(
  _xlfn.XLOOKUP(
    B28,
    Rollup!$C$2:$I$2,
    Rollup!$C$4:$I$4
  ),
  ""
)</f>
        <v>250</v>
      </c>
      <c r="H28" s="69">
        <f t="shared" si="0"/>
        <v>-50</v>
      </c>
      <c r="I28" s="67" t="s">
        <v>169</v>
      </c>
      <c r="J28" s="67" t="s">
        <v>170</v>
      </c>
      <c r="K28" s="67" t="s">
        <v>171</v>
      </c>
      <c r="L28" s="67" t="s">
        <v>172</v>
      </c>
      <c r="M28" s="67" t="s">
        <v>35</v>
      </c>
      <c r="N28" s="67" t="s">
        <v>258</v>
      </c>
      <c r="O28" s="67" t="s">
        <v>225</v>
      </c>
    </row>
    <row r="29" spans="1:15" ht="130" x14ac:dyDescent="0.35">
      <c r="A29" s="12">
        <v>25</v>
      </c>
      <c r="B29" s="67" t="s">
        <v>10</v>
      </c>
      <c r="C29" s="67" t="s">
        <v>173</v>
      </c>
      <c r="D29" s="67" t="s">
        <v>174</v>
      </c>
      <c r="E29" s="68" t="s">
        <v>316</v>
      </c>
      <c r="F29" s="69">
        <v>50</v>
      </c>
      <c r="G29" s="69">
        <f>IFERROR(
  _xlfn.XLOOKUP(
    B29,
    Rollup!$C$2:$I$2,
    Rollup!$C$4:$I$4
  ),
  ""
)</f>
        <v>250</v>
      </c>
      <c r="H29" s="69">
        <f t="shared" si="0"/>
        <v>-200</v>
      </c>
      <c r="I29" s="67" t="s">
        <v>175</v>
      </c>
      <c r="J29" s="67" t="s">
        <v>176</v>
      </c>
      <c r="K29" s="67" t="s">
        <v>177</v>
      </c>
      <c r="L29" s="67" t="s">
        <v>178</v>
      </c>
      <c r="M29" s="67" t="s">
        <v>35</v>
      </c>
      <c r="N29" s="67" t="s">
        <v>259</v>
      </c>
      <c r="O29" s="67" t="s">
        <v>226</v>
      </c>
    </row>
    <row r="30" spans="1:15" ht="208" x14ac:dyDescent="0.35">
      <c r="A30" s="12">
        <v>26</v>
      </c>
      <c r="B30" s="67" t="s">
        <v>10</v>
      </c>
      <c r="C30" s="67" t="s">
        <v>179</v>
      </c>
      <c r="D30" s="72" t="s">
        <v>340</v>
      </c>
      <c r="E30" s="68" t="s">
        <v>317</v>
      </c>
      <c r="F30" s="69">
        <v>50</v>
      </c>
      <c r="G30" s="69">
        <f>IFERROR(
  _xlfn.XLOOKUP(
    B30,
    Rollup!$C$2:$I$2,
    Rollup!$C$4:$I$4
  ),
  ""
)</f>
        <v>250</v>
      </c>
      <c r="H30" s="69">
        <f t="shared" si="0"/>
        <v>-200</v>
      </c>
      <c r="I30" s="67" t="s">
        <v>180</v>
      </c>
      <c r="J30" s="67" t="s">
        <v>181</v>
      </c>
      <c r="K30" s="67" t="s">
        <v>182</v>
      </c>
      <c r="L30" s="67" t="s">
        <v>183</v>
      </c>
      <c r="M30" s="67" t="s">
        <v>35</v>
      </c>
      <c r="N30" s="67" t="s">
        <v>260</v>
      </c>
      <c r="O30" s="67" t="s">
        <v>227</v>
      </c>
    </row>
    <row r="31" spans="1:15" ht="104" x14ac:dyDescent="0.35">
      <c r="A31" s="12">
        <v>27</v>
      </c>
      <c r="B31" s="67" t="s">
        <v>12</v>
      </c>
      <c r="C31" s="67" t="s">
        <v>184</v>
      </c>
      <c r="D31" s="67" t="s">
        <v>185</v>
      </c>
      <c r="E31" s="68" t="s">
        <v>318</v>
      </c>
      <c r="F31" s="69">
        <v>200</v>
      </c>
      <c r="G31" s="69">
        <f>IFERROR(
  _xlfn.XLOOKUP(
    B31,
    Rollup!$C$2:$I$2,
    Rollup!$C$4:$I$4
  ),
  ""
)</f>
        <v>300</v>
      </c>
      <c r="H31" s="69">
        <f t="shared" si="0"/>
        <v>-100</v>
      </c>
      <c r="I31" s="67" t="s">
        <v>186</v>
      </c>
      <c r="J31" s="67" t="s">
        <v>187</v>
      </c>
      <c r="K31" s="67" t="s">
        <v>188</v>
      </c>
      <c r="L31" s="67" t="s">
        <v>189</v>
      </c>
      <c r="M31" s="67" t="s">
        <v>35</v>
      </c>
      <c r="N31" s="67" t="s">
        <v>261</v>
      </c>
      <c r="O31" s="67" t="s">
        <v>228</v>
      </c>
    </row>
    <row r="32" spans="1:15" ht="117" x14ac:dyDescent="0.35">
      <c r="A32" s="12">
        <v>28</v>
      </c>
      <c r="B32" s="67" t="s">
        <v>12</v>
      </c>
      <c r="C32" s="67" t="s">
        <v>13</v>
      </c>
      <c r="D32" s="67" t="s">
        <v>190</v>
      </c>
      <c r="E32" s="68" t="s">
        <v>319</v>
      </c>
      <c r="F32" s="69">
        <v>150</v>
      </c>
      <c r="G32" s="69">
        <f>IFERROR(
  _xlfn.XLOOKUP(
    B32,
    Rollup!$C$2:$I$2,
    Rollup!$C$4:$I$4
  ),
  ""
)</f>
        <v>300</v>
      </c>
      <c r="H32" s="69">
        <f t="shared" si="0"/>
        <v>-150</v>
      </c>
      <c r="I32" s="67" t="s">
        <v>191</v>
      </c>
      <c r="J32" s="67" t="s">
        <v>192</v>
      </c>
      <c r="K32" s="67" t="s">
        <v>193</v>
      </c>
      <c r="L32" s="67" t="s">
        <v>194</v>
      </c>
      <c r="M32" s="67" t="s">
        <v>35</v>
      </c>
      <c r="N32" s="67" t="s">
        <v>262</v>
      </c>
      <c r="O32" s="67" t="s">
        <v>195</v>
      </c>
    </row>
    <row r="33" spans="1:15" ht="117" x14ac:dyDescent="0.35">
      <c r="A33" s="12">
        <v>29</v>
      </c>
      <c r="B33" s="67" t="s">
        <v>12</v>
      </c>
      <c r="C33" s="67" t="s">
        <v>196</v>
      </c>
      <c r="D33" s="67" t="s">
        <v>197</v>
      </c>
      <c r="E33" s="68" t="s">
        <v>320</v>
      </c>
      <c r="F33" s="69">
        <v>100</v>
      </c>
      <c r="G33" s="69">
        <f>IFERROR(
  _xlfn.XLOOKUP(
    B33,
    Rollup!$C$2:$I$2,
    Rollup!$C$4:$I$4
  ),
  ""
)</f>
        <v>300</v>
      </c>
      <c r="H33" s="69">
        <f t="shared" si="0"/>
        <v>-200</v>
      </c>
      <c r="I33" s="67" t="s">
        <v>198</v>
      </c>
      <c r="J33" s="67" t="s">
        <v>199</v>
      </c>
      <c r="K33" s="67" t="s">
        <v>200</v>
      </c>
      <c r="L33" s="67" t="s">
        <v>201</v>
      </c>
      <c r="M33" s="67" t="s">
        <v>35</v>
      </c>
      <c r="N33" s="67" t="s">
        <v>263</v>
      </c>
      <c r="O33" s="67" t="s">
        <v>229</v>
      </c>
    </row>
    <row r="34" spans="1:15" ht="130" x14ac:dyDescent="0.35">
      <c r="A34" s="12">
        <v>30</v>
      </c>
      <c r="B34" s="67" t="s">
        <v>12</v>
      </c>
      <c r="C34" s="67" t="s">
        <v>202</v>
      </c>
      <c r="D34" s="67" t="s">
        <v>203</v>
      </c>
      <c r="E34" s="68" t="s">
        <v>321</v>
      </c>
      <c r="F34" s="69">
        <v>150</v>
      </c>
      <c r="G34" s="69">
        <f>IFERROR(
  _xlfn.XLOOKUP(
    B34,
    Rollup!$C$2:$I$2,
    Rollup!$C$4:$I$4
  ),
  ""
)</f>
        <v>300</v>
      </c>
      <c r="H34" s="69">
        <f t="shared" si="0"/>
        <v>-150</v>
      </c>
      <c r="I34" s="67" t="s">
        <v>204</v>
      </c>
      <c r="J34" s="67" t="s">
        <v>205</v>
      </c>
      <c r="K34" s="67" t="s">
        <v>206</v>
      </c>
      <c r="L34" s="67" t="s">
        <v>207</v>
      </c>
      <c r="M34" s="67" t="s">
        <v>35</v>
      </c>
      <c r="N34" s="67" t="s">
        <v>264</v>
      </c>
      <c r="O34" s="67" t="s">
        <v>208</v>
      </c>
    </row>
    <row r="35" spans="1:15" ht="143" x14ac:dyDescent="0.35">
      <c r="A35" s="12">
        <v>31</v>
      </c>
      <c r="B35" s="67" t="s">
        <v>12</v>
      </c>
      <c r="C35" s="67" t="s">
        <v>209</v>
      </c>
      <c r="D35" s="67" t="s">
        <v>210</v>
      </c>
      <c r="E35" s="68" t="s">
        <v>322</v>
      </c>
      <c r="F35" s="69">
        <v>50</v>
      </c>
      <c r="G35" s="69">
        <f>IFERROR(
  _xlfn.XLOOKUP(
    B35,
    Rollup!$C$2:$I$2,
    Rollup!$C$4:$I$4
  ),
  ""
)</f>
        <v>300</v>
      </c>
      <c r="H35" s="69">
        <f t="shared" si="0"/>
        <v>-250</v>
      </c>
      <c r="I35" s="67" t="s">
        <v>211</v>
      </c>
      <c r="J35" s="67" t="s">
        <v>212</v>
      </c>
      <c r="K35" s="67" t="s">
        <v>213</v>
      </c>
      <c r="L35" s="67" t="s">
        <v>214</v>
      </c>
      <c r="M35" s="67" t="s">
        <v>35</v>
      </c>
      <c r="N35" s="67" t="s">
        <v>265</v>
      </c>
      <c r="O35" s="67" t="s">
        <v>266</v>
      </c>
    </row>
    <row r="36" spans="1:15" x14ac:dyDescent="0.35">
      <c r="B36" s="10"/>
      <c r="C36" s="10"/>
      <c r="D36" s="10"/>
      <c r="E36" s="10"/>
      <c r="F36" s="13"/>
      <c r="G36" s="13"/>
      <c r="H36" s="13"/>
      <c r="I36" s="10"/>
      <c r="J36" s="10"/>
      <c r="K36" s="10"/>
      <c r="L36" s="10"/>
      <c r="M36" s="10"/>
      <c r="N36" s="10"/>
      <c r="O36" s="10"/>
    </row>
    <row r="37" spans="1:15" x14ac:dyDescent="0.35">
      <c r="B37" s="11" t="s">
        <v>285</v>
      </c>
      <c r="C37" s="10"/>
      <c r="D37" s="10"/>
      <c r="E37" s="10"/>
      <c r="F37" s="13"/>
      <c r="G37" s="13"/>
      <c r="H37" s="13"/>
      <c r="I37" s="10"/>
      <c r="J37" s="10"/>
      <c r="K37" s="10"/>
      <c r="L37" s="10"/>
      <c r="M37" s="10"/>
      <c r="N37" s="10"/>
      <c r="O37" s="10"/>
    </row>
    <row r="38" spans="1:15" x14ac:dyDescent="0.35">
      <c r="B38" s="7" t="s">
        <v>267</v>
      </c>
      <c r="C38" s="10"/>
      <c r="D38" s="10"/>
      <c r="E38" s="10"/>
      <c r="F38" s="13"/>
      <c r="G38" s="13"/>
      <c r="H38" s="13"/>
      <c r="I38" s="10"/>
      <c r="J38" s="10"/>
      <c r="K38" s="10"/>
      <c r="L38" s="10"/>
      <c r="M38" s="10"/>
      <c r="N38" s="10"/>
      <c r="O38" s="10"/>
    </row>
    <row r="39" spans="1:15" x14ac:dyDescent="0.35">
      <c r="B39" s="7" t="s">
        <v>268</v>
      </c>
      <c r="C39" s="10"/>
      <c r="D39" s="10"/>
      <c r="E39" s="10"/>
      <c r="F39" s="13"/>
      <c r="G39" s="13"/>
      <c r="H39" s="13"/>
      <c r="I39" s="10"/>
      <c r="J39" s="10"/>
      <c r="K39" s="10"/>
      <c r="L39" s="10"/>
      <c r="M39" s="10"/>
      <c r="N39" s="10"/>
      <c r="O39" s="10"/>
    </row>
    <row r="40" spans="1:15" x14ac:dyDescent="0.35">
      <c r="B40" s="7" t="s">
        <v>269</v>
      </c>
      <c r="C40" s="10"/>
      <c r="D40" s="10"/>
      <c r="E40" s="10"/>
      <c r="F40" s="13"/>
      <c r="G40" s="13"/>
      <c r="H40" s="13"/>
      <c r="I40" s="10"/>
      <c r="J40" s="10"/>
      <c r="K40" s="10"/>
      <c r="L40" s="10"/>
      <c r="M40" s="10"/>
      <c r="N40" s="10"/>
      <c r="O40" s="10"/>
    </row>
    <row r="41" spans="1:15" x14ac:dyDescent="0.35">
      <c r="B41" s="7" t="s">
        <v>270</v>
      </c>
      <c r="C41" s="10"/>
      <c r="D41" s="10"/>
      <c r="E41" s="10"/>
      <c r="F41" s="13"/>
      <c r="G41" s="13"/>
      <c r="H41" s="13"/>
      <c r="I41" s="10"/>
      <c r="J41" s="10"/>
      <c r="K41" s="10"/>
      <c r="L41" s="10"/>
      <c r="M41" s="10"/>
      <c r="N41" s="10"/>
      <c r="O41" s="10"/>
    </row>
    <row r="42" spans="1:15" x14ac:dyDescent="0.35">
      <c r="B42" s="7" t="s">
        <v>271</v>
      </c>
      <c r="C42" s="10"/>
      <c r="D42" s="10"/>
      <c r="E42" s="10"/>
      <c r="F42" s="13"/>
      <c r="G42" s="13"/>
      <c r="H42" s="13"/>
      <c r="I42" s="10"/>
      <c r="J42" s="10"/>
      <c r="K42" s="10"/>
      <c r="L42" s="10"/>
      <c r="M42" s="10"/>
      <c r="N42" s="10"/>
      <c r="O42" s="10"/>
    </row>
    <row r="43" spans="1:15" x14ac:dyDescent="0.35">
      <c r="B43" s="7" t="s">
        <v>272</v>
      </c>
      <c r="C43" s="10"/>
      <c r="D43" s="10"/>
      <c r="E43" s="10"/>
      <c r="F43" s="13"/>
      <c r="G43" s="13"/>
      <c r="H43" s="13"/>
      <c r="I43" s="10"/>
      <c r="J43" s="10"/>
      <c r="K43" s="10"/>
      <c r="L43" s="10"/>
      <c r="M43" s="10"/>
      <c r="N43" s="10"/>
      <c r="O43" s="10"/>
    </row>
    <row r="44" spans="1:15" x14ac:dyDescent="0.35">
      <c r="B44" s="7" t="s">
        <v>273</v>
      </c>
      <c r="C44" s="10"/>
      <c r="D44" s="10"/>
      <c r="E44" s="10"/>
      <c r="F44" s="13"/>
      <c r="G44" s="13"/>
      <c r="H44" s="13"/>
      <c r="I44" s="10"/>
      <c r="J44" s="10"/>
      <c r="K44" s="10"/>
      <c r="L44" s="10"/>
      <c r="M44" s="10"/>
      <c r="N44" s="10"/>
      <c r="O44" s="10"/>
    </row>
    <row r="45" spans="1:15" x14ac:dyDescent="0.35">
      <c r="B45" s="7" t="s">
        <v>274</v>
      </c>
      <c r="C45" s="10"/>
      <c r="D45" s="10"/>
      <c r="E45" s="10"/>
      <c r="F45" s="13"/>
      <c r="G45" s="13"/>
      <c r="H45" s="13"/>
      <c r="I45" s="10"/>
      <c r="J45" s="10"/>
      <c r="K45" s="10"/>
      <c r="L45" s="10"/>
      <c r="M45" s="10"/>
      <c r="N45" s="10"/>
      <c r="O45" s="10"/>
    </row>
    <row r="46" spans="1:15" x14ac:dyDescent="0.35">
      <c r="B46" s="7" t="s">
        <v>275</v>
      </c>
      <c r="C46" s="10"/>
      <c r="D46" s="10"/>
      <c r="E46" s="10"/>
      <c r="F46" s="13"/>
      <c r="G46" s="13"/>
      <c r="H46" s="13"/>
      <c r="I46" s="10"/>
      <c r="J46" s="10"/>
      <c r="K46" s="10"/>
      <c r="L46" s="10"/>
      <c r="M46" s="10"/>
      <c r="N46" s="10"/>
      <c r="O46" s="10"/>
    </row>
    <row r="47" spans="1:15" x14ac:dyDescent="0.35">
      <c r="B47" s="7" t="s">
        <v>276</v>
      </c>
      <c r="C47" s="10"/>
      <c r="D47" s="10"/>
      <c r="E47" s="10"/>
      <c r="F47" s="13"/>
      <c r="G47" s="13"/>
      <c r="H47" s="13"/>
      <c r="I47" s="10"/>
      <c r="J47" s="10"/>
      <c r="K47" s="10"/>
      <c r="L47" s="10"/>
      <c r="M47" s="10"/>
      <c r="N47" s="10"/>
      <c r="O47" s="10"/>
    </row>
    <row r="48" spans="1:15" x14ac:dyDescent="0.35">
      <c r="B48" s="7" t="s">
        <v>277</v>
      </c>
      <c r="C48" s="10"/>
      <c r="D48" s="10"/>
      <c r="E48" s="10"/>
      <c r="F48" s="13"/>
      <c r="G48" s="13"/>
      <c r="H48" s="13"/>
      <c r="I48" s="10"/>
      <c r="J48" s="10"/>
      <c r="K48" s="10"/>
      <c r="L48" s="10"/>
      <c r="M48" s="10"/>
      <c r="N48" s="10"/>
      <c r="O48" s="10"/>
    </row>
    <row r="49" spans="1:15" x14ac:dyDescent="0.35">
      <c r="B49" s="7" t="s">
        <v>278</v>
      </c>
      <c r="C49" s="10"/>
      <c r="D49" s="10"/>
      <c r="E49" s="10"/>
      <c r="F49" s="13"/>
      <c r="G49" s="13"/>
      <c r="H49" s="13"/>
      <c r="I49" s="10"/>
      <c r="J49" s="10"/>
      <c r="K49" s="10"/>
      <c r="L49" s="10"/>
      <c r="M49" s="10"/>
      <c r="N49" s="10"/>
      <c r="O49" s="10"/>
    </row>
    <row r="50" spans="1:15" x14ac:dyDescent="0.35">
      <c r="B50" s="7" t="s">
        <v>279</v>
      </c>
      <c r="C50" s="10"/>
      <c r="D50" s="10"/>
      <c r="E50" s="10"/>
      <c r="F50" s="13"/>
      <c r="G50" s="13"/>
      <c r="H50" s="13"/>
      <c r="I50" s="10"/>
      <c r="J50" s="10"/>
      <c r="K50" s="10"/>
      <c r="L50" s="10"/>
      <c r="M50" s="10"/>
      <c r="N50" s="10"/>
      <c r="O50" s="10"/>
    </row>
    <row r="51" spans="1:15" x14ac:dyDescent="0.35">
      <c r="B51" s="7" t="s">
        <v>280</v>
      </c>
      <c r="C51" s="10"/>
      <c r="D51" s="10"/>
      <c r="E51" s="10"/>
      <c r="F51" s="13"/>
      <c r="G51" s="13"/>
      <c r="H51" s="13"/>
      <c r="I51" s="10"/>
      <c r="J51" s="10"/>
      <c r="K51" s="10"/>
      <c r="L51" s="10"/>
      <c r="M51" s="10"/>
      <c r="N51" s="10"/>
      <c r="O51" s="10"/>
    </row>
    <row r="52" spans="1:15" x14ac:dyDescent="0.35">
      <c r="B52" s="7" t="s">
        <v>281</v>
      </c>
      <c r="C52" s="10"/>
      <c r="D52" s="10"/>
      <c r="E52" s="10"/>
      <c r="F52" s="13"/>
      <c r="G52" s="13"/>
      <c r="H52" s="13"/>
      <c r="I52" s="10"/>
      <c r="J52" s="10"/>
      <c r="K52" s="10"/>
      <c r="L52" s="10"/>
      <c r="M52" s="10"/>
      <c r="N52" s="10"/>
      <c r="O52" s="10"/>
    </row>
    <row r="53" spans="1:15" x14ac:dyDescent="0.35">
      <c r="B53" s="7" t="s">
        <v>282</v>
      </c>
      <c r="C53" s="10"/>
      <c r="D53" s="10"/>
      <c r="E53" s="10"/>
      <c r="F53" s="13"/>
      <c r="G53" s="13"/>
      <c r="H53" s="13"/>
      <c r="I53" s="10"/>
      <c r="J53" s="10"/>
      <c r="K53" s="10"/>
      <c r="L53" s="10"/>
      <c r="M53" s="10"/>
      <c r="N53" s="10"/>
      <c r="O53" s="10"/>
    </row>
    <row r="55" spans="1:15" x14ac:dyDescent="0.35">
      <c r="A55" s="58" t="s">
        <v>286</v>
      </c>
    </row>
    <row r="56" spans="1:15" x14ac:dyDescent="0.35">
      <c r="A56" s="12">
        <v>0</v>
      </c>
    </row>
    <row r="57" spans="1:15" x14ac:dyDescent="0.35">
      <c r="A57" s="12">
        <v>50</v>
      </c>
    </row>
    <row r="58" spans="1:15" x14ac:dyDescent="0.35">
      <c r="A58" s="12">
        <v>100</v>
      </c>
    </row>
    <row r="59" spans="1:15" x14ac:dyDescent="0.35">
      <c r="A59" s="12">
        <v>150</v>
      </c>
    </row>
    <row r="60" spans="1:15" x14ac:dyDescent="0.35">
      <c r="A60" s="12">
        <v>200</v>
      </c>
    </row>
    <row r="61" spans="1:15" x14ac:dyDescent="0.35">
      <c r="A61" s="12">
        <v>250</v>
      </c>
    </row>
    <row r="62" spans="1:15" x14ac:dyDescent="0.35">
      <c r="A62" s="12">
        <v>300</v>
      </c>
    </row>
    <row r="63" spans="1:15" x14ac:dyDescent="0.35">
      <c r="A63" s="12">
        <v>350</v>
      </c>
    </row>
    <row r="64" spans="1:15" x14ac:dyDescent="0.35">
      <c r="A64" s="12">
        <v>400</v>
      </c>
    </row>
  </sheetData>
  <autoFilter ref="A2:O35" xr:uid="{47E2D9E2-6BDA-48A2-8C02-B679BDD62AE5}"/>
  <sortState xmlns:xlrd2="http://schemas.microsoft.com/office/spreadsheetml/2017/richdata2" ref="A4:O35">
    <sortCondition ref="H4:H35"/>
    <sortCondition ref="B4:B35"/>
    <sortCondition ref="C4:C35"/>
  </sortState>
  <conditionalFormatting sqref="I2:I35">
    <cfRule type="expression" dxfId="3" priority="5">
      <formula>$F2&lt;100</formula>
    </cfRule>
  </conditionalFormatting>
  <conditionalFormatting sqref="J2:J35">
    <cfRule type="expression" dxfId="2" priority="3">
      <formula>AND($F2&gt;=100,$F2&lt;200)</formula>
    </cfRule>
  </conditionalFormatting>
  <conditionalFormatting sqref="K2:K35">
    <cfRule type="expression" dxfId="1" priority="2">
      <formula>AND($F2&gt;=200,$F2&lt;300)</formula>
    </cfRule>
  </conditionalFormatting>
  <conditionalFormatting sqref="L2:L35">
    <cfRule type="expression" dxfId="0" priority="1">
      <formula>AND($F2&gt;=300,$F2&lt;400)</formula>
    </cfRule>
  </conditionalFormatting>
  <dataValidations disablePrompts="1" count="1">
    <dataValidation type="list" allowBlank="1" showInputMessage="1" showErrorMessage="1" promptTitle="Select" prompt="Select a value &gt; 0" sqref="F2:G2 F4:G35" xr:uid="{34F65843-B042-47F2-B0B5-C8B31718BC49}">
      <formula1>CML</formula1>
    </dataValidation>
  </dataValidations>
  <pageMargins left="0.75" right="0.75" top="1" bottom="1" header="0.5" footer="0.5"/>
  <pageSetup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Rollup</vt:lpstr>
      <vt:lpstr>SOF - AI-Enabled SOC</vt:lpstr>
      <vt:lpstr>CML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Todd Ray</cp:lastModifiedBy>
  <dcterms:created xsi:type="dcterms:W3CDTF">2025-10-27T22:28:36Z</dcterms:created>
  <dcterms:modified xsi:type="dcterms:W3CDTF">2025-12-04T19:51:04Z</dcterms:modified>
</cp:coreProperties>
</file>